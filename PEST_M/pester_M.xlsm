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75" yWindow="360" windowWidth="17775" windowHeight="10920"/>
  </bookViews>
  <sheets>
    <sheet name="Start" sheetId="2" r:id="rId1"/>
    <sheet name="Experiment_data" sheetId="7" r:id="rId2"/>
    <sheet name="Parameter_data" sheetId="9" r:id="rId3"/>
    <sheet name="Input_data" sheetId="10" r:id="rId4"/>
    <sheet name="Observations" sheetId="21" r:id="rId5"/>
    <sheet name="Sheet1" sheetId="22" r:id="rId6"/>
    <sheet name="Sheet2" sheetId="23" r:id="rId7"/>
    <sheet name="Sheet4" sheetId="25" r:id="rId8"/>
  </sheets>
  <functionGroups builtInGroupCount="17"/>
  <definedNames>
    <definedName name="base_path">Start!$C$2</definedName>
    <definedName name="expt_data_file">Experiment_data!#REF!</definedName>
    <definedName name="input_file_name">Start!#REF!</definedName>
    <definedName name="max_hours">Start!$J$18</definedName>
    <definedName name="MB_PER_CPU">Start!$J$19</definedName>
    <definedName name="monolayer_DLL">Start!$L$10</definedName>
    <definedName name="monolayer_exe_path">Start!$M$10</definedName>
    <definedName name="multiprog">Start!$X$8</definedName>
    <definedName name="n_ID_options">#REF!</definedName>
    <definedName name="NCPU">Start!$J$12</definedName>
    <definedName name="NESI_PEST_DIR">Start!$M$14</definedName>
    <definedName name="NEXP">Start!$B$4</definedName>
    <definedName name="niters">Start!#REF!</definedName>
    <definedName name="parameter_data_file">Parameter_data!$C$14</definedName>
    <definedName name="parameter_factor">Parameter_data!$C$9</definedName>
    <definedName name="PC_PEST_DIR">Start!$M$13</definedName>
    <definedName name="rb_monolayer">Start!$X$2</definedName>
    <definedName name="rb_NeSI">Start!$X$6</definedName>
    <definedName name="rb_PC">Start!$X$5</definedName>
    <definedName name="rb_vmonolayer">Start!$X$1</definedName>
    <definedName name="rb_vspheroid">Start!$X$3</definedName>
    <definedName name="RUN_DIR">Start!$J$21</definedName>
    <definedName name="run_name">Start!$C$3</definedName>
    <definedName name="template_file_number">Start!$G$5</definedName>
    <definedName name="USER">Start!$J$20</definedName>
    <definedName name="vmonolayer_DLL">Start!$L$9</definedName>
    <definedName name="vmonolayer_exe_path">Start!$M$9</definedName>
    <definedName name="vspheroid_DLL">Start!$L$11</definedName>
    <definedName name="vspheroid_exe_path">Start!$M$11</definedName>
  </definedNames>
  <calcPr calcId="144525"/>
</workbook>
</file>

<file path=xl/calcChain.xml><?xml version="1.0" encoding="utf-8"?>
<calcChain xmlns="http://schemas.openxmlformats.org/spreadsheetml/2006/main">
  <c r="C24" i="7" l="1"/>
  <c r="C23" i="7"/>
  <c r="C22" i="7"/>
  <c r="C21" i="7"/>
  <c r="C20" i="7"/>
  <c r="C19" i="7"/>
  <c r="C18" i="7"/>
  <c r="C17" i="7"/>
  <c r="C16" i="7"/>
  <c r="N17" i="7"/>
  <c r="M17" i="7"/>
  <c r="L17" i="7"/>
  <c r="K17" i="7"/>
</calcChain>
</file>

<file path=xl/sharedStrings.xml><?xml version="1.0" encoding="utf-8"?>
<sst xmlns="http://schemas.openxmlformats.org/spreadsheetml/2006/main" count="145" uniqueCount="118">
  <si>
    <t>Base path</t>
  </si>
  <si>
    <t>Parameter tag</t>
  </si>
  <si>
    <t>Value</t>
  </si>
  <si>
    <t>Description</t>
  </si>
  <si>
    <t>Param1</t>
  </si>
  <si>
    <t>Param2</t>
  </si>
  <si>
    <t>Param3</t>
  </si>
  <si>
    <t>Param4</t>
  </si>
  <si>
    <t>Param5</t>
  </si>
  <si>
    <t>Param6</t>
  </si>
  <si>
    <t>Min value</t>
  </si>
  <si>
    <t>Max value</t>
  </si>
  <si>
    <t>DLL2.0</t>
  </si>
  <si>
    <t>DLL2.1</t>
  </si>
  <si>
    <t>D:\monolayer-abm\build\release</t>
  </si>
  <si>
    <t>monolayer</t>
  </si>
  <si>
    <t>vspheroid</t>
  </si>
  <si>
    <t>PC</t>
  </si>
  <si>
    <t>NeSI</t>
  </si>
  <si>
    <t>PC executable folder</t>
  </si>
  <si>
    <t>Initial value</t>
  </si>
  <si>
    <t># of params</t>
  </si>
  <si>
    <t>Param7</t>
  </si>
  <si>
    <t>Param8</t>
  </si>
  <si>
    <t>Param9</t>
  </si>
  <si>
    <t>Param10</t>
  </si>
  <si>
    <t>PEST executable folder</t>
  </si>
  <si>
    <t>D:\pest</t>
  </si>
  <si>
    <t>Max hours (total)</t>
  </si>
  <si>
    <t>Memory MB/CPU</t>
  </si>
  <si>
    <t>NeSI data</t>
  </si>
  <si>
    <t>Username</t>
  </si>
  <si>
    <t>Run directory</t>
  </si>
  <si>
    <t>(where PEST lives)</t>
  </si>
  <si>
    <t>mbog002</t>
  </si>
  <si>
    <t>/projects/uoa00014/pest</t>
  </si>
  <si>
    <t>DLL2.2</t>
  </si>
  <si>
    <t>vmonolayer</t>
  </si>
  <si>
    <t>D:\vmonolayer-abm\build\release</t>
  </si>
  <si>
    <t>D:\vspheroid-abm\build\release</t>
  </si>
  <si>
    <t>Run name</t>
  </si>
  <si>
    <t>multiprog</t>
  </si>
  <si>
    <t># of CPUs/run</t>
  </si>
  <si>
    <t>Input data files</t>
  </si>
  <si>
    <t>Param11</t>
  </si>
  <si>
    <t>Param12</t>
  </si>
  <si>
    <t>Param13</t>
  </si>
  <si>
    <t>Param14</t>
  </si>
  <si>
    <t>Param15</t>
  </si>
  <si>
    <t>D:\vmonolayer-calibration\Gluc-13\pester3\E11.dat</t>
  </si>
  <si>
    <t>Parameter factor:</t>
  </si>
  <si>
    <t>E01</t>
  </si>
  <si>
    <t>E02</t>
  </si>
  <si>
    <t>E03</t>
  </si>
  <si>
    <t>E04</t>
  </si>
  <si>
    <t>Y</t>
  </si>
  <si>
    <t>logSF</t>
  </si>
  <si>
    <t>dist1</t>
  </si>
  <si>
    <t>dist2</t>
  </si>
  <si>
    <t>dist3</t>
  </si>
  <si>
    <t>expt</t>
  </si>
  <si>
    <t>E0-18h</t>
  </si>
  <si>
    <t>E0-24h</t>
  </si>
  <si>
    <t>E1-24h</t>
  </si>
  <si>
    <t>dist0</t>
  </si>
  <si>
    <t>D:\drm_monolayer\pest_M</t>
  </si>
  <si>
    <t>original</t>
  </si>
  <si>
    <t>new</t>
  </si>
  <si>
    <t>yellow SF</t>
  </si>
  <si>
    <t>yellow</t>
  </si>
  <si>
    <t>Yellow values are from Cho email 28/03/2022, ave of 4 expt.</t>
  </si>
  <si>
    <t>dose</t>
  </si>
  <si>
    <t>SF</t>
  </si>
  <si>
    <t>log10(SF)</t>
  </si>
  <si>
    <t>Radiosensitisation-by-SN39536_CH_20220328.xlsx</t>
  </si>
  <si>
    <t>M51.dat</t>
  </si>
  <si>
    <t>M52.dat</t>
  </si>
  <si>
    <t>M53.dat</t>
  </si>
  <si>
    <t>M54.dat</t>
  </si>
  <si>
    <t>M55.dat</t>
  </si>
  <si>
    <t>M56.dat</t>
  </si>
  <si>
    <t>M57.dat</t>
  </si>
  <si>
    <t>M58.dat</t>
  </si>
  <si>
    <t>M59.dat</t>
  </si>
  <si>
    <t>PHRSIMPLE</t>
  </si>
  <si>
    <t>phrsimple</t>
  </si>
  <si>
    <t>PCOMPLEX</t>
  </si>
  <si>
    <t>pcomplex</t>
  </si>
  <si>
    <t>M51</t>
  </si>
  <si>
    <t>M52</t>
  </si>
  <si>
    <t>M53</t>
  </si>
  <si>
    <t>M54</t>
  </si>
  <si>
    <t>M55</t>
  </si>
  <si>
    <t>M56</t>
  </si>
  <si>
    <t>M57</t>
  </si>
  <si>
    <t>M58</t>
  </si>
  <si>
    <t>M59</t>
  </si>
  <si>
    <t>M51obgp</t>
  </si>
  <si>
    <t>M51logSF</t>
  </si>
  <si>
    <t>M52obgp</t>
  </si>
  <si>
    <t>M52logSF</t>
  </si>
  <si>
    <t>M53obgp</t>
  </si>
  <si>
    <t>M53logSF</t>
  </si>
  <si>
    <t>M54obgp</t>
  </si>
  <si>
    <t>M54logSF</t>
  </si>
  <si>
    <t>M55obgp</t>
  </si>
  <si>
    <t>M55logSF</t>
  </si>
  <si>
    <t>M56obgp</t>
  </si>
  <si>
    <t>M56logSF</t>
  </si>
  <si>
    <t>M57obgp</t>
  </si>
  <si>
    <t>M57logSF</t>
  </si>
  <si>
    <t>M58obgp</t>
  </si>
  <si>
    <t>M58logSF</t>
  </si>
  <si>
    <t>M59obgp</t>
  </si>
  <si>
    <t>M59logSF</t>
  </si>
  <si>
    <t>PREASS</t>
  </si>
  <si>
    <t>preass</t>
  </si>
  <si>
    <t>M6-1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</si>
</sst>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E+00"/>
    <numFmt numFmtId="165" formatCode="0.000"/>
    <numFmt numFmtId="166" formatCode="0.00000"/>
    <numFmt numFmtId="167" formatCode="0.000000"/>
    <numFmt numFmtId="168" formatCode="0.00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5">
    <xf numFmtId="0" fontId="0" fillId="0" borderId="0" xfId="0"/>
    <xf numFmtId="0" fontId="0" fillId="0" borderId="0" xfId="0" quotePrefix="1"/>
    <xf numFmtId="11" fontId="0" fillId="0" borderId="0" xfId="0" applyNumberFormat="1"/>
    <xf numFmtId="0" fontId="1" fillId="0" borderId="0" xfId="0" applyFont="1"/>
    <xf numFmtId="11" fontId="1" fillId="0" borderId="0" xfId="0" applyNumberFormat="1" applyFont="1"/>
    <xf numFmtId="0" fontId="0" fillId="0" borderId="0" xfId="0" applyNumberFormat="1"/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/>
    <xf numFmtId="168" fontId="0" fillId="2" borderId="1" xfId="0" applyNumberFormat="1" applyFill="1" applyBorder="1"/>
    <xf numFmtId="0" fontId="0" fillId="3" borderId="0" xfId="0" applyFill="1"/>
  </cellXfs>
  <cellStyles count="2">
    <cellStyle name="Normal" xfId="0" builtinId="0"/>
    <cellStyle name="Normal 7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17</xdr:row>
          <xdr:rowOff>171450</xdr:rowOff>
        </xdr:from>
        <xdr:to>
          <xdr:col>5</xdr:col>
          <xdr:colOff>180975</xdr:colOff>
          <xdr:row>19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180975</xdr:rowOff>
        </xdr:from>
        <xdr:to>
          <xdr:col>5</xdr:col>
          <xdr:colOff>542925</xdr:colOff>
          <xdr:row>5</xdr:row>
          <xdr:rowOff>38100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View template file #: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8228</xdr:colOff>
          <xdr:row>11</xdr:row>
          <xdr:rowOff>133350</xdr:rowOff>
        </xdr:from>
        <xdr:to>
          <xdr:col>6</xdr:col>
          <xdr:colOff>783128</xdr:colOff>
          <xdr:row>14</xdr:row>
          <xdr:rowOff>68509</xdr:rowOff>
        </xdr:to>
        <xdr:grpSp>
          <xdr:nvGrpSpPr>
            <xdr:cNvPr id="2" name="Group 1">
              <a:extLst>
                <a:ext uri="{FF2B5EF4-FFF2-40B4-BE49-F238E27FC236}">
                  <a16:creationId xmlns=""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6980528" y="2228850"/>
              <a:ext cx="774900" cy="506659"/>
              <a:chOff x="6523325" y="2247965"/>
              <a:chExt cx="572688" cy="497138"/>
            </a:xfrm>
          </xdr:grpSpPr>
          <xdr:sp macro="" textlink="">
            <xdr:nvSpPr>
              <xdr:cNvPr id="2060" name="PC" hidden="1">
                <a:extLst>
                  <a:ext uri="{63B3BB69-23CF-44E3-9099-C40C66FF867C}">
                    <a14:compatExt spid="_x0000_s2060"/>
                  </a:ext>
                </a:extLst>
              </xdr:cNvPr>
              <xdr:cNvSpPr/>
            </xdr:nvSpPr>
            <xdr:spPr>
              <a:xfrm>
                <a:off x="6532855" y="2247965"/>
                <a:ext cx="563158" cy="283904"/>
              </a:xfrm>
              <a:prstGeom prst="rect">
                <a:avLst/>
              </a:prstGeom>
            </xdr:spPr>
          </xdr:sp>
          <xdr:sp macro="" textlink="">
            <xdr:nvSpPr>
              <xdr:cNvPr id="2061" name="NeSI" hidden="1">
                <a:extLst>
                  <a:ext uri="{63B3BB69-23CF-44E3-9099-C40C66FF867C}">
                    <a14:compatExt spid="_x0000_s2061"/>
                  </a:ext>
                </a:extLst>
              </xdr:cNvPr>
              <xdr:cNvSpPr/>
            </xdr:nvSpPr>
            <xdr:spPr>
              <a:xfrm>
                <a:off x="6523325" y="2461199"/>
                <a:ext cx="563158" cy="28390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171450</xdr:rowOff>
        </xdr:from>
        <xdr:to>
          <xdr:col>7</xdr:col>
          <xdr:colOff>428625</xdr:colOff>
          <xdr:row>11</xdr:row>
          <xdr:rowOff>66675</xdr:rowOff>
        </xdr:to>
        <xdr:grpSp>
          <xdr:nvGrpSpPr>
            <xdr:cNvPr id="3" name="Group 2">
              <a:extLst>
                <a:ext uri="{FF2B5EF4-FFF2-40B4-BE49-F238E27FC236}">
                  <a16:creationId xmlns="" xmlns:a16="http://schemas.microsoft.com/office/drawing/2014/main" id="{00000000-0008-0000-0000-000003000000}"/>
                </a:ext>
              </a:extLst>
            </xdr:cNvPr>
            <xdr:cNvGrpSpPr/>
          </xdr:nvGrpSpPr>
          <xdr:grpSpPr>
            <a:xfrm>
              <a:off x="6972300" y="1504950"/>
              <a:ext cx="1304925" cy="657225"/>
              <a:chOff x="6524679" y="1504950"/>
              <a:chExt cx="1057275" cy="657225"/>
            </a:xfrm>
          </xdr:grpSpPr>
          <xdr:sp macro="" textlink="">
            <xdr:nvSpPr>
              <xdr:cNvPr id="2065" name="Vspheroid" hidden="1">
                <a:extLst>
                  <a:ext uri="{63B3BB69-23CF-44E3-9099-C40C66FF867C}">
                    <a14:compatExt spid="_x0000_s2065"/>
                  </a:ext>
                </a:extLst>
              </xdr:cNvPr>
              <xdr:cNvSpPr/>
            </xdr:nvSpPr>
            <xdr:spPr>
              <a:xfrm>
                <a:off x="6534150" y="1884045"/>
                <a:ext cx="860797" cy="278130"/>
              </a:xfrm>
              <a:prstGeom prst="rect">
                <a:avLst/>
              </a:prstGeom>
            </xdr:spPr>
          </xdr:sp>
          <xdr:sp macro="" textlink="">
            <xdr:nvSpPr>
              <xdr:cNvPr id="2068" name="vmonolayer" hidden="1">
                <a:extLst>
                  <a:ext uri="{63B3BB69-23CF-44E3-9099-C40C66FF867C}">
                    <a14:compatExt spid="_x0000_s2068"/>
                  </a:ext>
                </a:extLst>
              </xdr:cNvPr>
              <xdr:cNvSpPr/>
            </xdr:nvSpPr>
            <xdr:spPr>
              <a:xfrm>
                <a:off x="6524679" y="1504950"/>
                <a:ext cx="1057275" cy="266700"/>
              </a:xfrm>
              <a:prstGeom prst="rect">
                <a:avLst/>
              </a:prstGeom>
            </xdr:spPr>
          </xdr:sp>
          <xdr:sp macro="" textlink="">
            <xdr:nvSpPr>
              <xdr:cNvPr id="2069" name="Monolayer" hidden="1">
                <a:extLst>
                  <a:ext uri="{63B3BB69-23CF-44E3-9099-C40C66FF867C}">
                    <a14:compatExt spid="_x0000_s2069"/>
                  </a:ext>
                </a:extLst>
              </xdr:cNvPr>
              <xdr:cNvSpPr/>
            </xdr:nvSpPr>
            <xdr:spPr>
              <a:xfrm>
                <a:off x="6534150" y="1695450"/>
                <a:ext cx="942975" cy="2667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21</xdr:row>
          <xdr:rowOff>180975</xdr:rowOff>
        </xdr:from>
        <xdr:to>
          <xdr:col>4</xdr:col>
          <xdr:colOff>628650</xdr:colOff>
          <xdr:row>23</xdr:row>
          <xdr:rowOff>38100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27</xdr:row>
          <xdr:rowOff>9525</xdr:rowOff>
        </xdr:from>
        <xdr:to>
          <xdr:col>4</xdr:col>
          <xdr:colOff>638175</xdr:colOff>
          <xdr:row>28</xdr:row>
          <xdr:rowOff>57150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180975</xdr:rowOff>
        </xdr:from>
        <xdr:to>
          <xdr:col>8</xdr:col>
          <xdr:colOff>161925</xdr:colOff>
          <xdr:row>14</xdr:row>
          <xdr:rowOff>19050</xdr:rowOff>
        </xdr:to>
        <xdr:sp macro="" textlink="">
          <xdr:nvSpPr>
            <xdr:cNvPr id="2075" name="CheckBox1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288"/>
  <sheetViews>
    <sheetView tabSelected="1" topLeftCell="B1" workbookViewId="0">
      <selection activeCell="C3" sqref="C3"/>
    </sheetView>
  </sheetViews>
  <sheetFormatPr defaultRowHeight="15" x14ac:dyDescent="0.25"/>
  <cols>
    <col min="1" max="1" width="19.42578125" customWidth="1"/>
    <col min="2" max="2" width="6" style="6" customWidth="1"/>
    <col min="3" max="3" width="50.28515625" customWidth="1"/>
    <col min="4" max="4" width="5.7109375" customWidth="1"/>
    <col min="5" max="5" width="11" customWidth="1"/>
    <col min="6" max="6" width="12.140625" style="8" customWidth="1"/>
    <col min="7" max="7" width="13.140625" customWidth="1"/>
    <col min="8" max="8" width="10.7109375" customWidth="1"/>
    <col min="9" max="9" width="16.7109375" customWidth="1"/>
    <col min="10" max="10" width="12" customWidth="1"/>
    <col min="11" max="11" width="9.140625" customWidth="1"/>
    <col min="12" max="12" width="8.28515625" customWidth="1"/>
    <col min="13" max="13" width="33.5703125" customWidth="1"/>
    <col min="14" max="14" width="11.28515625" customWidth="1"/>
    <col min="22" max="22" width="2.7109375" customWidth="1"/>
    <col min="23" max="23" width="15" customWidth="1"/>
  </cols>
  <sheetData>
    <row r="1" spans="1:24" x14ac:dyDescent="0.25">
      <c r="W1" t="s">
        <v>37</v>
      </c>
      <c r="X1" t="b">
        <v>1</v>
      </c>
    </row>
    <row r="2" spans="1:24" x14ac:dyDescent="0.25">
      <c r="A2" s="3" t="s">
        <v>0</v>
      </c>
      <c r="B2" s="3"/>
      <c r="C2" t="s">
        <v>65</v>
      </c>
      <c r="W2" t="s">
        <v>15</v>
      </c>
      <c r="X2" t="b">
        <v>0</v>
      </c>
    </row>
    <row r="3" spans="1:24" x14ac:dyDescent="0.25">
      <c r="A3" s="3" t="s">
        <v>40</v>
      </c>
      <c r="B3" s="3"/>
      <c r="C3" t="s">
        <v>117</v>
      </c>
      <c r="J3" s="1"/>
      <c r="W3" t="s">
        <v>16</v>
      </c>
      <c r="X3" t="b">
        <v>0</v>
      </c>
    </row>
    <row r="5" spans="1:24" x14ac:dyDescent="0.25">
      <c r="A5" s="3" t="s">
        <v>43</v>
      </c>
      <c r="B5" t="s">
        <v>55</v>
      </c>
      <c r="C5" s="6" t="s">
        <v>75</v>
      </c>
      <c r="G5">
        <v>1</v>
      </c>
      <c r="I5" t="s">
        <v>49</v>
      </c>
      <c r="W5" t="s">
        <v>17</v>
      </c>
      <c r="X5" t="b">
        <v>1</v>
      </c>
    </row>
    <row r="6" spans="1:24" x14ac:dyDescent="0.25">
      <c r="B6" s="6" t="s">
        <v>55</v>
      </c>
      <c r="C6" s="6" t="s">
        <v>76</v>
      </c>
      <c r="W6" t="s">
        <v>18</v>
      </c>
      <c r="X6" t="b">
        <v>0</v>
      </c>
    </row>
    <row r="7" spans="1:24" x14ac:dyDescent="0.25">
      <c r="B7" s="6" t="s">
        <v>55</v>
      </c>
      <c r="C7" s="6" t="s">
        <v>77</v>
      </c>
    </row>
    <row r="8" spans="1:24" x14ac:dyDescent="0.25">
      <c r="B8" s="6" t="s">
        <v>55</v>
      </c>
      <c r="C8" s="6" t="s">
        <v>78</v>
      </c>
      <c r="M8" s="3" t="s">
        <v>19</v>
      </c>
      <c r="W8" t="s">
        <v>41</v>
      </c>
      <c r="X8" t="b">
        <v>1</v>
      </c>
    </row>
    <row r="9" spans="1:24" x14ac:dyDescent="0.25">
      <c r="B9" s="12" t="s">
        <v>55</v>
      </c>
      <c r="C9" s="6" t="s">
        <v>79</v>
      </c>
      <c r="L9" t="s">
        <v>36</v>
      </c>
      <c r="M9" t="s">
        <v>38</v>
      </c>
    </row>
    <row r="10" spans="1:24" x14ac:dyDescent="0.25">
      <c r="B10" s="12" t="s">
        <v>55</v>
      </c>
      <c r="C10" s="6" t="s">
        <v>80</v>
      </c>
      <c r="L10" t="s">
        <v>12</v>
      </c>
      <c r="M10" t="s">
        <v>14</v>
      </c>
    </row>
    <row r="11" spans="1:24" x14ac:dyDescent="0.25">
      <c r="B11" s="12" t="s">
        <v>55</v>
      </c>
      <c r="C11" s="6" t="s">
        <v>81</v>
      </c>
      <c r="L11" t="s">
        <v>13</v>
      </c>
      <c r="M11" t="s">
        <v>39</v>
      </c>
    </row>
    <row r="12" spans="1:24" x14ac:dyDescent="0.25">
      <c r="B12" s="12" t="s">
        <v>55</v>
      </c>
      <c r="C12" s="6" t="s">
        <v>82</v>
      </c>
      <c r="I12" t="s">
        <v>42</v>
      </c>
      <c r="J12">
        <v>1</v>
      </c>
      <c r="M12" s="3" t="s">
        <v>26</v>
      </c>
      <c r="N12" t="s">
        <v>33</v>
      </c>
    </row>
    <row r="13" spans="1:24" x14ac:dyDescent="0.25">
      <c r="B13" s="12" t="s">
        <v>55</v>
      </c>
      <c r="C13" s="6" t="s">
        <v>83</v>
      </c>
      <c r="M13" t="s">
        <v>27</v>
      </c>
    </row>
    <row r="14" spans="1:24" x14ac:dyDescent="0.25">
      <c r="C14" s="6"/>
    </row>
    <row r="15" spans="1:24" x14ac:dyDescent="0.25">
      <c r="C15" s="6"/>
    </row>
    <row r="16" spans="1:24" x14ac:dyDescent="0.25">
      <c r="B16"/>
      <c r="C16" s="6"/>
    </row>
    <row r="17" spans="2:15" x14ac:dyDescent="0.25">
      <c r="B17"/>
      <c r="C17" s="6"/>
      <c r="I17" s="3" t="s">
        <v>30</v>
      </c>
    </row>
    <row r="18" spans="2:15" x14ac:dyDescent="0.25">
      <c r="B18"/>
      <c r="C18" s="6"/>
      <c r="I18" t="s">
        <v>28</v>
      </c>
      <c r="J18">
        <v>24</v>
      </c>
    </row>
    <row r="19" spans="2:15" x14ac:dyDescent="0.25">
      <c r="C19" s="6"/>
      <c r="I19" t="s">
        <v>29</v>
      </c>
      <c r="J19">
        <v>100</v>
      </c>
    </row>
    <row r="20" spans="2:15" x14ac:dyDescent="0.25">
      <c r="C20" s="6"/>
      <c r="D20" s="4"/>
      <c r="I20" t="s">
        <v>31</v>
      </c>
      <c r="J20" t="s">
        <v>34</v>
      </c>
    </row>
    <row r="21" spans="2:15" x14ac:dyDescent="0.25">
      <c r="C21" s="6"/>
      <c r="D21" s="2"/>
      <c r="E21" s="2"/>
      <c r="G21" s="5"/>
      <c r="H21" s="5"/>
      <c r="I21" s="5" t="s">
        <v>32</v>
      </c>
      <c r="J21" s="5" t="s">
        <v>35</v>
      </c>
      <c r="K21" s="5"/>
    </row>
    <row r="22" spans="2:15" x14ac:dyDescent="0.25">
      <c r="C22" s="6"/>
      <c r="D22" s="2"/>
      <c r="E22" s="2"/>
      <c r="G22" s="5"/>
      <c r="H22" s="5"/>
      <c r="I22" s="5"/>
      <c r="J22" s="5"/>
      <c r="K22" s="5"/>
    </row>
    <row r="23" spans="2:15" x14ac:dyDescent="0.25">
      <c r="C23" s="6"/>
      <c r="E23" s="5"/>
      <c r="G23" s="5"/>
      <c r="H23" s="5"/>
      <c r="I23" s="5"/>
      <c r="J23" s="5"/>
      <c r="K23" s="5"/>
    </row>
    <row r="24" spans="2:15" x14ac:dyDescent="0.25">
      <c r="C24" s="6"/>
      <c r="D24" s="2"/>
    </row>
    <row r="25" spans="2:15" x14ac:dyDescent="0.25">
      <c r="L25" s="2"/>
      <c r="M25" s="2"/>
      <c r="N25" s="2"/>
      <c r="O25" s="2"/>
    </row>
    <row r="26" spans="2:15" x14ac:dyDescent="0.25">
      <c r="L26" s="2"/>
      <c r="M26" s="2"/>
      <c r="N26" s="2"/>
      <c r="O26" s="2"/>
    </row>
    <row r="27" spans="2:15" x14ac:dyDescent="0.25">
      <c r="G27" s="2"/>
      <c r="H27" s="2"/>
      <c r="I27" s="2"/>
      <c r="L27" s="2"/>
      <c r="M27" s="2"/>
      <c r="N27" s="2"/>
      <c r="O27" s="2"/>
    </row>
    <row r="28" spans="2:15" x14ac:dyDescent="0.25">
      <c r="C28" s="6"/>
      <c r="G28" s="2"/>
      <c r="H28" s="2"/>
      <c r="I28" s="2"/>
      <c r="L28" s="2"/>
      <c r="M28" s="2"/>
      <c r="N28" s="2"/>
      <c r="O28" s="2"/>
    </row>
    <row r="29" spans="2:15" x14ac:dyDescent="0.25">
      <c r="G29" s="2"/>
      <c r="H29" s="2"/>
      <c r="I29" s="2"/>
      <c r="L29" s="2"/>
      <c r="M29" s="2"/>
      <c r="N29" s="2"/>
      <c r="O29" s="2"/>
    </row>
    <row r="30" spans="2:15" x14ac:dyDescent="0.25">
      <c r="G30" s="2"/>
      <c r="H30" s="2"/>
      <c r="I30" s="2"/>
      <c r="L30" s="2"/>
      <c r="M30" s="2"/>
    </row>
    <row r="31" spans="2:15" x14ac:dyDescent="0.25">
      <c r="G31" s="2"/>
      <c r="H31" s="2"/>
      <c r="I31" s="2"/>
      <c r="L31" s="2"/>
      <c r="M31" s="2"/>
    </row>
    <row r="32" spans="2:15" x14ac:dyDescent="0.25">
      <c r="G32" s="2"/>
      <c r="H32" s="2"/>
      <c r="I32" s="2"/>
      <c r="L32" s="2"/>
      <c r="M32" s="2"/>
    </row>
    <row r="33" spans="7:13" x14ac:dyDescent="0.25">
      <c r="G33" s="2"/>
      <c r="H33" s="2"/>
      <c r="I33" s="2"/>
      <c r="L33" s="2"/>
      <c r="M33" s="2"/>
    </row>
    <row r="34" spans="7:13" x14ac:dyDescent="0.25">
      <c r="G34" s="2"/>
      <c r="H34" s="2"/>
      <c r="I34" s="2"/>
      <c r="L34" s="2"/>
      <c r="M34" s="2"/>
    </row>
    <row r="35" spans="7:13" x14ac:dyDescent="0.25">
      <c r="G35" s="2"/>
      <c r="H35" s="2"/>
      <c r="I35" s="2"/>
      <c r="L35" s="2"/>
      <c r="M35" s="2"/>
    </row>
    <row r="36" spans="7:13" x14ac:dyDescent="0.25">
      <c r="G36" s="2"/>
      <c r="H36" s="2"/>
      <c r="I36" s="2"/>
      <c r="L36" s="2"/>
      <c r="M36" s="2"/>
    </row>
    <row r="37" spans="7:13" x14ac:dyDescent="0.25">
      <c r="G37" s="2"/>
      <c r="H37" s="2"/>
      <c r="I37" s="2"/>
      <c r="L37" s="2"/>
      <c r="M37" s="2"/>
    </row>
    <row r="38" spans="7:13" x14ac:dyDescent="0.25">
      <c r="G38" s="2"/>
      <c r="H38" s="2"/>
      <c r="I38" s="2"/>
      <c r="L38" s="2"/>
      <c r="M38" s="2"/>
    </row>
    <row r="39" spans="7:13" x14ac:dyDescent="0.25">
      <c r="G39" s="2"/>
      <c r="H39" s="2"/>
      <c r="I39" s="2"/>
      <c r="L39" s="2"/>
      <c r="M39" s="2"/>
    </row>
    <row r="40" spans="7:13" x14ac:dyDescent="0.25">
      <c r="G40" s="2"/>
      <c r="H40" s="2"/>
      <c r="I40" s="2"/>
      <c r="L40" s="2"/>
      <c r="M40" s="2"/>
    </row>
    <row r="41" spans="7:13" x14ac:dyDescent="0.25">
      <c r="G41" s="2"/>
      <c r="H41" s="2"/>
      <c r="I41" s="2"/>
      <c r="L41" s="2"/>
      <c r="M41" s="2"/>
    </row>
    <row r="42" spans="7:13" x14ac:dyDescent="0.25">
      <c r="G42" s="2"/>
      <c r="H42" s="2"/>
      <c r="I42" s="2"/>
      <c r="L42" s="2"/>
      <c r="M42" s="2"/>
    </row>
    <row r="43" spans="7:13" x14ac:dyDescent="0.25">
      <c r="G43" s="2"/>
      <c r="H43" s="2"/>
      <c r="I43" s="2"/>
      <c r="L43" s="2"/>
      <c r="M43" s="2"/>
    </row>
    <row r="44" spans="7:13" x14ac:dyDescent="0.25">
      <c r="G44" s="2"/>
      <c r="H44" s="2"/>
      <c r="I44" s="2"/>
      <c r="L44" s="2"/>
      <c r="M44" s="2"/>
    </row>
    <row r="45" spans="7:13" x14ac:dyDescent="0.25">
      <c r="G45" s="2"/>
      <c r="H45" s="2"/>
      <c r="I45" s="2"/>
      <c r="L45" s="2"/>
      <c r="M45" s="2"/>
    </row>
    <row r="46" spans="7:13" x14ac:dyDescent="0.25">
      <c r="G46" s="2"/>
      <c r="H46" s="2"/>
      <c r="I46" s="2"/>
      <c r="L46" s="2"/>
      <c r="M46" s="2"/>
    </row>
    <row r="47" spans="7:13" x14ac:dyDescent="0.25">
      <c r="G47" s="2"/>
      <c r="H47" s="2"/>
      <c r="I47" s="2"/>
      <c r="L47" s="2"/>
      <c r="M47" s="2"/>
    </row>
    <row r="48" spans="7:13" x14ac:dyDescent="0.25">
      <c r="G48" s="2"/>
      <c r="H48" s="2"/>
      <c r="I48" s="2"/>
      <c r="L48" s="2"/>
      <c r="M48" s="2"/>
    </row>
    <row r="49" spans="7:13" x14ac:dyDescent="0.25">
      <c r="G49" s="2"/>
      <c r="H49" s="2"/>
      <c r="I49" s="2"/>
      <c r="L49" s="2"/>
      <c r="M49" s="2"/>
    </row>
    <row r="50" spans="7:13" x14ac:dyDescent="0.25">
      <c r="G50" s="2"/>
      <c r="H50" s="2"/>
      <c r="I50" s="2"/>
      <c r="L50" s="2"/>
      <c r="M50" s="2"/>
    </row>
    <row r="51" spans="7:13" x14ac:dyDescent="0.25">
      <c r="G51" s="2"/>
      <c r="H51" s="2"/>
      <c r="I51" s="2"/>
      <c r="L51" s="2"/>
      <c r="M51" s="2"/>
    </row>
    <row r="52" spans="7:13" x14ac:dyDescent="0.25">
      <c r="G52" s="2"/>
      <c r="H52" s="2"/>
      <c r="I52" s="2"/>
      <c r="L52" s="2"/>
      <c r="M52" s="2"/>
    </row>
    <row r="53" spans="7:13" x14ac:dyDescent="0.25">
      <c r="G53" s="2"/>
      <c r="H53" s="2"/>
      <c r="I53" s="2"/>
      <c r="L53" s="2"/>
      <c r="M53" s="2"/>
    </row>
    <row r="54" spans="7:13" x14ac:dyDescent="0.25">
      <c r="G54" s="2"/>
      <c r="H54" s="2"/>
      <c r="I54" s="2"/>
      <c r="L54" s="2"/>
      <c r="M54" s="2"/>
    </row>
    <row r="55" spans="7:13" x14ac:dyDescent="0.25">
      <c r="G55" s="2"/>
      <c r="H55" s="2"/>
      <c r="I55" s="2"/>
      <c r="L55" s="2"/>
      <c r="M55" s="2"/>
    </row>
    <row r="56" spans="7:13" x14ac:dyDescent="0.25">
      <c r="G56" s="2"/>
      <c r="H56" s="2"/>
      <c r="I56" s="2"/>
      <c r="L56" s="2"/>
      <c r="M56" s="2"/>
    </row>
    <row r="57" spans="7:13" x14ac:dyDescent="0.25">
      <c r="G57" s="2"/>
      <c r="H57" s="2"/>
      <c r="I57" s="2"/>
      <c r="L57" s="2"/>
      <c r="M57" s="2"/>
    </row>
    <row r="58" spans="7:13" x14ac:dyDescent="0.25">
      <c r="G58" s="2"/>
      <c r="H58" s="2"/>
      <c r="I58" s="2"/>
      <c r="L58" s="2"/>
      <c r="M58" s="2"/>
    </row>
    <row r="59" spans="7:13" x14ac:dyDescent="0.25">
      <c r="G59" s="2"/>
      <c r="H59" s="2"/>
      <c r="I59" s="2"/>
      <c r="L59" s="2"/>
      <c r="M59" s="2"/>
    </row>
    <row r="60" spans="7:13" x14ac:dyDescent="0.25">
      <c r="G60" s="2"/>
      <c r="H60" s="2"/>
      <c r="I60" s="2"/>
      <c r="L60" s="2"/>
      <c r="M60" s="2"/>
    </row>
    <row r="61" spans="7:13" x14ac:dyDescent="0.25">
      <c r="G61" s="2"/>
      <c r="H61" s="2"/>
      <c r="I61" s="2"/>
      <c r="L61" s="2"/>
      <c r="M61" s="2"/>
    </row>
    <row r="62" spans="7:13" x14ac:dyDescent="0.25">
      <c r="L62" s="2"/>
      <c r="M62" s="2"/>
    </row>
    <row r="63" spans="7:13" x14ac:dyDescent="0.25">
      <c r="L63" s="2"/>
      <c r="M63" s="2"/>
    </row>
    <row r="64" spans="7:13" x14ac:dyDescent="0.25">
      <c r="L64" s="2"/>
      <c r="M64" s="2"/>
    </row>
    <row r="65" spans="12:13" x14ac:dyDescent="0.25">
      <c r="L65" s="2"/>
      <c r="M65" s="2"/>
    </row>
    <row r="66" spans="12:13" x14ac:dyDescent="0.25">
      <c r="L66" s="2"/>
      <c r="M66" s="2"/>
    </row>
    <row r="67" spans="12:13" x14ac:dyDescent="0.25">
      <c r="L67" s="2"/>
      <c r="M67" s="2"/>
    </row>
    <row r="68" spans="12:13" x14ac:dyDescent="0.25">
      <c r="L68" s="2"/>
      <c r="M68" s="2"/>
    </row>
    <row r="69" spans="12:13" x14ac:dyDescent="0.25">
      <c r="L69" s="2"/>
      <c r="M69" s="2"/>
    </row>
    <row r="70" spans="12:13" x14ac:dyDescent="0.25">
      <c r="L70" s="2"/>
      <c r="M70" s="2"/>
    </row>
    <row r="71" spans="12:13" x14ac:dyDescent="0.25">
      <c r="L71" s="2"/>
      <c r="M71" s="2"/>
    </row>
    <row r="72" spans="12:13" x14ac:dyDescent="0.25">
      <c r="L72" s="2"/>
      <c r="M72" s="2"/>
    </row>
    <row r="73" spans="12:13" x14ac:dyDescent="0.25">
      <c r="L73" s="2"/>
      <c r="M73" s="2"/>
    </row>
    <row r="74" spans="12:13" x14ac:dyDescent="0.25">
      <c r="L74" s="2"/>
      <c r="M74" s="2"/>
    </row>
    <row r="75" spans="12:13" x14ac:dyDescent="0.25">
      <c r="L75" s="2"/>
      <c r="M75" s="2"/>
    </row>
    <row r="76" spans="12:13" x14ac:dyDescent="0.25">
      <c r="L76" s="2"/>
      <c r="M76" s="2"/>
    </row>
    <row r="77" spans="12:13" x14ac:dyDescent="0.25">
      <c r="L77" s="2"/>
      <c r="M77" s="2"/>
    </row>
    <row r="78" spans="12:13" x14ac:dyDescent="0.25">
      <c r="L78" s="2"/>
      <c r="M78" s="2"/>
    </row>
    <row r="79" spans="12:13" x14ac:dyDescent="0.25">
      <c r="L79" s="2"/>
      <c r="M79" s="2"/>
    </row>
    <row r="80" spans="12:13" x14ac:dyDescent="0.25">
      <c r="L80" s="2"/>
      <c r="M80" s="2"/>
    </row>
    <row r="81" spans="12:13" x14ac:dyDescent="0.25">
      <c r="L81" s="2"/>
      <c r="M81" s="2"/>
    </row>
    <row r="82" spans="12:13" x14ac:dyDescent="0.25">
      <c r="L82" s="2"/>
      <c r="M82" s="2"/>
    </row>
    <row r="83" spans="12:13" x14ac:dyDescent="0.25">
      <c r="L83" s="2"/>
      <c r="M83" s="2"/>
    </row>
    <row r="84" spans="12:13" x14ac:dyDescent="0.25">
      <c r="L84" s="2"/>
      <c r="M84" s="2"/>
    </row>
    <row r="125" spans="4:5" x14ac:dyDescent="0.25">
      <c r="D125" s="2"/>
      <c r="E125" s="2"/>
    </row>
    <row r="126" spans="4:5" x14ac:dyDescent="0.25">
      <c r="D126" s="2"/>
      <c r="E126" s="2"/>
    </row>
    <row r="129" spans="4:5" x14ac:dyDescent="0.25">
      <c r="D129" s="2"/>
      <c r="E129" s="2"/>
    </row>
    <row r="130" spans="4:5" x14ac:dyDescent="0.25">
      <c r="D130" s="2"/>
      <c r="E130" s="2"/>
    </row>
    <row r="131" spans="4:5" x14ac:dyDescent="0.25">
      <c r="D131" s="2"/>
      <c r="E131" s="2"/>
    </row>
    <row r="134" spans="4:5" x14ac:dyDescent="0.25">
      <c r="D134" s="2"/>
      <c r="E134" s="2"/>
    </row>
    <row r="135" spans="4:5" x14ac:dyDescent="0.25">
      <c r="D135" s="2"/>
      <c r="E135" s="2"/>
    </row>
    <row r="136" spans="4:5" x14ac:dyDescent="0.25">
      <c r="D136" s="2"/>
      <c r="E136" s="2"/>
    </row>
    <row r="139" spans="4:5" x14ac:dyDescent="0.25">
      <c r="D139" s="2"/>
      <c r="E139" s="2"/>
    </row>
    <row r="140" spans="4:5" x14ac:dyDescent="0.25">
      <c r="D140" s="2"/>
      <c r="E140" s="2"/>
    </row>
    <row r="141" spans="4:5" x14ac:dyDescent="0.25">
      <c r="D141" s="2"/>
      <c r="E141" s="2"/>
    </row>
    <row r="144" spans="4:5" x14ac:dyDescent="0.25">
      <c r="D144" s="2"/>
      <c r="E144" s="2"/>
    </row>
    <row r="145" spans="4:5" x14ac:dyDescent="0.25">
      <c r="D145" s="2"/>
      <c r="E145" s="2"/>
    </row>
    <row r="146" spans="4:5" x14ac:dyDescent="0.25">
      <c r="D146" s="2"/>
      <c r="E146" s="2"/>
    </row>
    <row r="153" spans="4:5" x14ac:dyDescent="0.25">
      <c r="D153" s="2"/>
    </row>
    <row r="154" spans="4:5" x14ac:dyDescent="0.25">
      <c r="D154" s="2"/>
    </row>
    <row r="155" spans="4:5" x14ac:dyDescent="0.25">
      <c r="D155" s="2"/>
    </row>
    <row r="157" spans="4:5" x14ac:dyDescent="0.25">
      <c r="D157" s="2"/>
      <c r="E157" s="2"/>
    </row>
    <row r="158" spans="4:5" x14ac:dyDescent="0.25">
      <c r="D158" s="2"/>
      <c r="E158" s="2"/>
    </row>
    <row r="159" spans="4:5" x14ac:dyDescent="0.25">
      <c r="D159" s="2"/>
      <c r="E159" s="2"/>
    </row>
    <row r="162" spans="4:5" x14ac:dyDescent="0.25">
      <c r="D162" s="2"/>
      <c r="E162" s="2"/>
    </row>
    <row r="163" spans="4:5" x14ac:dyDescent="0.25">
      <c r="D163" s="2"/>
      <c r="E163" s="2"/>
    </row>
    <row r="164" spans="4:5" x14ac:dyDescent="0.25">
      <c r="D164" s="2"/>
      <c r="E164" s="2"/>
    </row>
    <row r="167" spans="4:5" x14ac:dyDescent="0.25">
      <c r="D167" s="2"/>
      <c r="E167" s="2"/>
    </row>
    <row r="168" spans="4:5" x14ac:dyDescent="0.25">
      <c r="D168" s="2"/>
      <c r="E168" s="2"/>
    </row>
    <row r="169" spans="4:5" x14ac:dyDescent="0.25">
      <c r="D169" s="2"/>
      <c r="E169" s="2"/>
    </row>
    <row r="172" spans="4:5" x14ac:dyDescent="0.25">
      <c r="D172" s="2"/>
      <c r="E172" s="2"/>
    </row>
    <row r="173" spans="4:5" x14ac:dyDescent="0.25">
      <c r="D173" s="2"/>
      <c r="E173" s="2"/>
    </row>
    <row r="174" spans="4:5" x14ac:dyDescent="0.25">
      <c r="D174" s="2"/>
      <c r="E174" s="2"/>
    </row>
    <row r="177" spans="4:5" x14ac:dyDescent="0.25">
      <c r="D177" s="2"/>
      <c r="E177" s="2"/>
    </row>
    <row r="178" spans="4:5" x14ac:dyDescent="0.25">
      <c r="D178" s="2"/>
      <c r="E178" s="2"/>
    </row>
    <row r="179" spans="4:5" x14ac:dyDescent="0.25">
      <c r="D179" s="2"/>
      <c r="E179" s="2"/>
    </row>
    <row r="182" spans="4:5" x14ac:dyDescent="0.25">
      <c r="D182" s="2"/>
      <c r="E182" s="2"/>
    </row>
    <row r="183" spans="4:5" x14ac:dyDescent="0.25">
      <c r="D183" s="2"/>
      <c r="E183" s="2"/>
    </row>
    <row r="184" spans="4:5" x14ac:dyDescent="0.25">
      <c r="D184" s="2"/>
      <c r="E184" s="2"/>
    </row>
    <row r="187" spans="4:5" x14ac:dyDescent="0.25">
      <c r="D187" s="2"/>
      <c r="E187" s="2"/>
    </row>
    <row r="188" spans="4:5" x14ac:dyDescent="0.25">
      <c r="D188" s="2"/>
      <c r="E188" s="2"/>
    </row>
    <row r="189" spans="4:5" x14ac:dyDescent="0.25">
      <c r="D189" s="2"/>
      <c r="E189" s="2"/>
    </row>
    <row r="192" spans="4:5" x14ac:dyDescent="0.25">
      <c r="D192" s="2"/>
      <c r="E192" s="2"/>
    </row>
    <row r="193" spans="4:5" x14ac:dyDescent="0.25">
      <c r="D193" s="2"/>
      <c r="E193" s="2"/>
    </row>
    <row r="194" spans="4:5" x14ac:dyDescent="0.25">
      <c r="D194" s="2"/>
      <c r="E194" s="2"/>
    </row>
    <row r="197" spans="4:5" x14ac:dyDescent="0.25">
      <c r="D197" s="2"/>
      <c r="E197" s="2"/>
    </row>
    <row r="198" spans="4:5" x14ac:dyDescent="0.25">
      <c r="D198" s="2"/>
      <c r="E198" s="2"/>
    </row>
    <row r="199" spans="4:5" x14ac:dyDescent="0.25">
      <c r="D199" s="2"/>
      <c r="E199" s="2"/>
    </row>
    <row r="202" spans="4:5" x14ac:dyDescent="0.25">
      <c r="D202" s="2"/>
      <c r="E202" s="2"/>
    </row>
    <row r="203" spans="4:5" x14ac:dyDescent="0.25">
      <c r="D203" s="2"/>
      <c r="E203" s="2"/>
    </row>
    <row r="204" spans="4:5" x14ac:dyDescent="0.25">
      <c r="D204" s="2"/>
      <c r="E204" s="2"/>
    </row>
    <row r="207" spans="4:5" x14ac:dyDescent="0.25">
      <c r="D207" s="2"/>
      <c r="E207" s="2"/>
    </row>
    <row r="208" spans="4:5" x14ac:dyDescent="0.25">
      <c r="D208" s="2"/>
      <c r="E208" s="2"/>
    </row>
    <row r="209" spans="4:5" x14ac:dyDescent="0.25">
      <c r="D209" s="2"/>
      <c r="E209" s="2"/>
    </row>
    <row r="212" spans="4:5" x14ac:dyDescent="0.25">
      <c r="D212" s="2"/>
      <c r="E212" s="2"/>
    </row>
    <row r="213" spans="4:5" x14ac:dyDescent="0.25">
      <c r="D213" s="2"/>
      <c r="E213" s="2"/>
    </row>
    <row r="214" spans="4:5" x14ac:dyDescent="0.25">
      <c r="D214" s="2"/>
      <c r="E214" s="2"/>
    </row>
    <row r="217" spans="4:5" x14ac:dyDescent="0.25">
      <c r="D217" s="2"/>
      <c r="E217" s="2"/>
    </row>
    <row r="218" spans="4:5" x14ac:dyDescent="0.25">
      <c r="D218" s="2"/>
      <c r="E218" s="2"/>
    </row>
    <row r="219" spans="4:5" x14ac:dyDescent="0.25">
      <c r="D219" s="2"/>
      <c r="E219" s="2"/>
    </row>
    <row r="222" spans="4:5" x14ac:dyDescent="0.25">
      <c r="D222" s="2"/>
      <c r="E222" s="2"/>
    </row>
    <row r="223" spans="4:5" x14ac:dyDescent="0.25">
      <c r="D223" s="2"/>
      <c r="E223" s="2"/>
    </row>
    <row r="224" spans="4:5" x14ac:dyDescent="0.25">
      <c r="D224" s="2"/>
      <c r="E224" s="2"/>
    </row>
    <row r="227" spans="4:5" x14ac:dyDescent="0.25">
      <c r="D227" s="2"/>
      <c r="E227" s="2"/>
    </row>
    <row r="228" spans="4:5" x14ac:dyDescent="0.25">
      <c r="D228" s="2"/>
      <c r="E228" s="2"/>
    </row>
    <row r="229" spans="4:5" x14ac:dyDescent="0.25">
      <c r="D229" s="2"/>
      <c r="E229" s="2"/>
    </row>
    <row r="232" spans="4:5" x14ac:dyDescent="0.25">
      <c r="D232" s="2"/>
      <c r="E232" s="2"/>
    </row>
    <row r="233" spans="4:5" x14ac:dyDescent="0.25">
      <c r="D233" s="2"/>
      <c r="E233" s="2"/>
    </row>
    <row r="234" spans="4:5" x14ac:dyDescent="0.25">
      <c r="D234" s="2"/>
      <c r="E234" s="2"/>
    </row>
    <row r="237" spans="4:5" x14ac:dyDescent="0.25">
      <c r="D237" s="2"/>
      <c r="E237" s="2"/>
    </row>
    <row r="238" spans="4:5" x14ac:dyDescent="0.25">
      <c r="D238" s="2"/>
      <c r="E238" s="2"/>
    </row>
    <row r="239" spans="4:5" x14ac:dyDescent="0.25">
      <c r="D239" s="2"/>
      <c r="E239" s="2"/>
    </row>
    <row r="242" spans="4:5" x14ac:dyDescent="0.25">
      <c r="D242" s="2"/>
      <c r="E242" s="2"/>
    </row>
    <row r="243" spans="4:5" x14ac:dyDescent="0.25">
      <c r="D243" s="2"/>
      <c r="E243" s="2"/>
    </row>
    <row r="244" spans="4:5" x14ac:dyDescent="0.25">
      <c r="D244" s="2"/>
      <c r="E244" s="2"/>
    </row>
    <row r="247" spans="4:5" x14ac:dyDescent="0.25">
      <c r="D247" s="2"/>
      <c r="E247" s="2"/>
    </row>
    <row r="248" spans="4:5" x14ac:dyDescent="0.25">
      <c r="D248" s="2"/>
      <c r="E248" s="2"/>
    </row>
    <row r="249" spans="4:5" x14ac:dyDescent="0.25">
      <c r="D249" s="2"/>
      <c r="E249" s="2"/>
    </row>
    <row r="252" spans="4:5" x14ac:dyDescent="0.25">
      <c r="D252" s="2"/>
      <c r="E252" s="2"/>
    </row>
    <row r="253" spans="4:5" x14ac:dyDescent="0.25">
      <c r="D253" s="2"/>
      <c r="E253" s="2"/>
    </row>
    <row r="254" spans="4:5" x14ac:dyDescent="0.25">
      <c r="D254" s="2"/>
      <c r="E254" s="2"/>
    </row>
    <row r="257" spans="4:5" x14ac:dyDescent="0.25">
      <c r="D257" s="2"/>
      <c r="E257" s="2"/>
    </row>
    <row r="258" spans="4:5" x14ac:dyDescent="0.25">
      <c r="D258" s="2"/>
      <c r="E258" s="2"/>
    </row>
    <row r="259" spans="4:5" x14ac:dyDescent="0.25">
      <c r="D259" s="2"/>
      <c r="E259" s="2"/>
    </row>
    <row r="262" spans="4:5" x14ac:dyDescent="0.25">
      <c r="D262" s="2"/>
      <c r="E262" s="2"/>
    </row>
    <row r="263" spans="4:5" x14ac:dyDescent="0.25">
      <c r="D263" s="2"/>
      <c r="E263" s="2"/>
    </row>
    <row r="264" spans="4:5" x14ac:dyDescent="0.25">
      <c r="D264" s="2"/>
      <c r="E264" s="2"/>
    </row>
    <row r="267" spans="4:5" x14ac:dyDescent="0.25">
      <c r="D267" s="2"/>
      <c r="E267" s="2"/>
    </row>
    <row r="268" spans="4:5" x14ac:dyDescent="0.25">
      <c r="D268" s="2"/>
      <c r="E268" s="2"/>
    </row>
    <row r="269" spans="4:5" x14ac:dyDescent="0.25">
      <c r="D269" s="2"/>
      <c r="E269" s="2"/>
    </row>
    <row r="272" spans="4:5" x14ac:dyDescent="0.25">
      <c r="D272" s="2"/>
      <c r="E272" s="2"/>
    </row>
    <row r="273" spans="4:5" x14ac:dyDescent="0.25">
      <c r="D273" s="2"/>
      <c r="E273" s="2"/>
    </row>
    <row r="274" spans="4:5" x14ac:dyDescent="0.25">
      <c r="D274" s="2"/>
      <c r="E274" s="2"/>
    </row>
    <row r="277" spans="4:5" x14ac:dyDescent="0.25">
      <c r="D277" s="2"/>
      <c r="E277" s="2"/>
    </row>
    <row r="278" spans="4:5" x14ac:dyDescent="0.25">
      <c r="D278" s="2"/>
      <c r="E278" s="2"/>
    </row>
    <row r="279" spans="4:5" x14ac:dyDescent="0.25">
      <c r="D279" s="2"/>
      <c r="E279" s="2"/>
    </row>
    <row r="286" spans="4:5" x14ac:dyDescent="0.25">
      <c r="D286" s="2"/>
    </row>
    <row r="287" spans="4:5" x14ac:dyDescent="0.25">
      <c r="D287" s="2"/>
    </row>
    <row r="288" spans="4:5" x14ac:dyDescent="0.25">
      <c r="D288" s="2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5" r:id="rId4" name="CheckBox1">
          <controlPr locked="0" defaultSize="0" autoLine="0" linkedCell="multiprog" r:id="rId5">
            <anchor moveWithCells="1">
              <from>
                <xdr:col>7</xdr:col>
                <xdr:colOff>9525</xdr:colOff>
                <xdr:row>12</xdr:row>
                <xdr:rowOff>180975</xdr:rowOff>
              </from>
              <to>
                <xdr:col>8</xdr:col>
                <xdr:colOff>161925</xdr:colOff>
                <xdr:row>14</xdr:row>
                <xdr:rowOff>19050</xdr:rowOff>
              </to>
            </anchor>
          </controlPr>
        </control>
      </mc:Choice>
      <mc:Fallback>
        <control shapeId="2075" r:id="rId4" name="CheckBox1"/>
      </mc:Fallback>
    </mc:AlternateContent>
    <mc:AlternateContent xmlns:mc="http://schemas.openxmlformats.org/markup-compatibility/2006">
      <mc:Choice Requires="x14">
        <control shapeId="2060" r:id="rId6" name="PC">
          <controlPr autoLine="0" linkedCell="rb_PC" r:id="rId7">
            <anchor moveWithCells="1">
              <from>
                <xdr:col>6</xdr:col>
                <xdr:colOff>19050</xdr:colOff>
                <xdr:row>11</xdr:row>
                <xdr:rowOff>133350</xdr:rowOff>
              </from>
              <to>
                <xdr:col>6</xdr:col>
                <xdr:colOff>781050</xdr:colOff>
                <xdr:row>13</xdr:row>
                <xdr:rowOff>38100</xdr:rowOff>
              </to>
            </anchor>
          </controlPr>
        </control>
      </mc:Choice>
      <mc:Fallback>
        <control shapeId="2060" r:id="rId6" name="PC"/>
      </mc:Fallback>
    </mc:AlternateContent>
    <mc:AlternateContent xmlns:mc="http://schemas.openxmlformats.org/markup-compatibility/2006">
      <mc:Choice Requires="x14">
        <control shapeId="2061" r:id="rId8" name="NeSI">
          <controlPr autoLine="0" linkedCell="rb_NeSI" r:id="rId9">
            <anchor moveWithCells="1">
              <from>
                <xdr:col>6</xdr:col>
                <xdr:colOff>9525</xdr:colOff>
                <xdr:row>12</xdr:row>
                <xdr:rowOff>161925</xdr:rowOff>
              </from>
              <to>
                <xdr:col>6</xdr:col>
                <xdr:colOff>771525</xdr:colOff>
                <xdr:row>14</xdr:row>
                <xdr:rowOff>66675</xdr:rowOff>
              </to>
            </anchor>
          </controlPr>
        </control>
      </mc:Choice>
      <mc:Fallback>
        <control shapeId="2061" r:id="rId8" name="NeSI"/>
      </mc:Fallback>
    </mc:AlternateContent>
    <mc:AlternateContent xmlns:mc="http://schemas.openxmlformats.org/markup-compatibility/2006">
      <mc:Choice Requires="x14">
        <control shapeId="2065" r:id="rId10" name="Vspheroid">
          <controlPr autoLine="0" linkedCell="rb_vspheroid" r:id="rId11">
            <anchor moveWithCells="1">
              <from>
                <xdr:col>6</xdr:col>
                <xdr:colOff>9525</xdr:colOff>
                <xdr:row>9</xdr:row>
                <xdr:rowOff>171450</xdr:rowOff>
              </from>
              <to>
                <xdr:col>7</xdr:col>
                <xdr:colOff>200025</xdr:colOff>
                <xdr:row>11</xdr:row>
                <xdr:rowOff>66675</xdr:rowOff>
              </to>
            </anchor>
          </controlPr>
        </control>
      </mc:Choice>
      <mc:Fallback>
        <control shapeId="2065" r:id="rId10" name="Vspheroid"/>
      </mc:Fallback>
    </mc:AlternateContent>
    <mc:AlternateContent xmlns:mc="http://schemas.openxmlformats.org/markup-compatibility/2006">
      <mc:Choice Requires="x14">
        <control shapeId="2068" r:id="rId12" name="vmonolayer">
          <controlPr autoLine="0" linkedCell="rb_monolayer_m" r:id="rId13">
            <anchor moveWithCells="1">
              <from>
                <xdr:col>6</xdr:col>
                <xdr:colOff>0</xdr:colOff>
                <xdr:row>7</xdr:row>
                <xdr:rowOff>171450</xdr:rowOff>
              </from>
              <to>
                <xdr:col>7</xdr:col>
                <xdr:colOff>428625</xdr:colOff>
                <xdr:row>9</xdr:row>
                <xdr:rowOff>57150</xdr:rowOff>
              </to>
            </anchor>
          </controlPr>
        </control>
      </mc:Choice>
      <mc:Fallback>
        <control shapeId="2068" r:id="rId12" name="vmonolayer"/>
      </mc:Fallback>
    </mc:AlternateContent>
    <mc:AlternateContent xmlns:mc="http://schemas.openxmlformats.org/markup-compatibility/2006">
      <mc:Choice Requires="x14">
        <control shapeId="2069" r:id="rId14" name="Monolayer">
          <controlPr autoLine="0" linkedCell="rb_monolayer" r:id="rId15">
            <anchor moveWithCells="1">
              <from>
                <xdr:col>6</xdr:col>
                <xdr:colOff>9525</xdr:colOff>
                <xdr:row>8</xdr:row>
                <xdr:rowOff>171450</xdr:rowOff>
              </from>
              <to>
                <xdr:col>7</xdr:col>
                <xdr:colOff>295275</xdr:colOff>
                <xdr:row>10</xdr:row>
                <xdr:rowOff>57150</xdr:rowOff>
              </to>
            </anchor>
          </controlPr>
        </control>
      </mc:Choice>
      <mc:Fallback>
        <control shapeId="2069" r:id="rId14" name="Monolayer"/>
      </mc:Fallback>
    </mc:AlternateContent>
    <mc:AlternateContent xmlns:mc="http://schemas.openxmlformats.org/markup-compatibility/2006">
      <mc:Choice Requires="x14">
        <control shapeId="2051" r:id="rId16" name="Button 3">
          <controlPr defaultSize="0" print="0" autoFill="0" autoPict="0" macro="[0]!WriteFiles">
            <anchor moveWithCells="1">
              <from>
                <xdr:col>4</xdr:col>
                <xdr:colOff>19050</xdr:colOff>
                <xdr:row>17</xdr:row>
                <xdr:rowOff>171450</xdr:rowOff>
              </from>
              <to>
                <xdr:col>5</xdr:col>
                <xdr:colOff>180975</xdr:colOff>
                <xdr:row>19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2" r:id="rId17" name="Button 4">
          <controlPr defaultSize="0" print="0" autoFill="0" autoPict="0" macro="[0]!Load_input_data">
            <anchor moveWithCells="1">
              <from>
                <xdr:col>4</xdr:col>
                <xdr:colOff>9525</xdr:colOff>
                <xdr:row>3</xdr:row>
                <xdr:rowOff>180975</xdr:rowOff>
              </from>
              <to>
                <xdr:col>5</xdr:col>
                <xdr:colOff>542925</xdr:colOff>
                <xdr:row>5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0" r:id="rId18" name="Button 22">
          <controlPr defaultSize="0" print="0" autoFill="0" autoPict="0" macro="[0]!Submit">
            <anchor moveWithCells="1">
              <from>
                <xdr:col>4</xdr:col>
                <xdr:colOff>19050</xdr:colOff>
                <xdr:row>21</xdr:row>
                <xdr:rowOff>180975</xdr:rowOff>
              </from>
              <to>
                <xdr:col>4</xdr:col>
                <xdr:colOff>628650</xdr:colOff>
                <xdr:row>23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4" r:id="rId19" name="Button 26">
          <controlPr defaultSize="0" print="0" autoFill="0" autoPict="0" macro="[0]!getSolution">
            <anchor moveWithCells="1">
              <from>
                <xdr:col>4</xdr:col>
                <xdr:colOff>28575</xdr:colOff>
                <xdr:row>27</xdr:row>
                <xdr:rowOff>9525</xdr:rowOff>
              </from>
              <to>
                <xdr:col>4</xdr:col>
                <xdr:colOff>638175</xdr:colOff>
                <xdr:row>28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24"/>
  <sheetViews>
    <sheetView workbookViewId="0">
      <selection activeCell="I7" sqref="I7"/>
    </sheetView>
  </sheetViews>
  <sheetFormatPr defaultRowHeight="15" x14ac:dyDescent="0.25"/>
  <cols>
    <col min="1" max="1" width="7.5703125" customWidth="1"/>
    <col min="2" max="2" width="10.140625" style="6" customWidth="1"/>
    <col min="3" max="3" width="9.140625" style="6" customWidth="1"/>
    <col min="4" max="4" width="9.85546875" style="6" customWidth="1"/>
    <col min="5" max="5" width="10.28515625" style="6" customWidth="1"/>
    <col min="6" max="8" width="11.85546875" customWidth="1"/>
    <col min="9" max="9" width="12.85546875" customWidth="1"/>
    <col min="10" max="10" width="10" customWidth="1"/>
    <col min="11" max="11" width="10.85546875" customWidth="1"/>
    <col min="12" max="12" width="13.140625" customWidth="1"/>
    <col min="13" max="13" width="14.140625" customWidth="1"/>
    <col min="15" max="15" width="8.85546875" customWidth="1"/>
    <col min="16" max="16" width="8.7109375" customWidth="1"/>
    <col min="17" max="17" width="8.5703125" customWidth="1"/>
    <col min="18" max="18" width="8.85546875" customWidth="1"/>
    <col min="19" max="19" width="8.140625" customWidth="1"/>
  </cols>
  <sheetData>
    <row r="1" spans="1:25" x14ac:dyDescent="0.25">
      <c r="A1" t="s">
        <v>60</v>
      </c>
      <c r="B1" s="6" t="s">
        <v>88</v>
      </c>
      <c r="C1" s="6" t="s">
        <v>89</v>
      </c>
      <c r="D1" s="12" t="s">
        <v>90</v>
      </c>
      <c r="E1" s="12" t="s">
        <v>91</v>
      </c>
      <c r="F1" s="12" t="s">
        <v>92</v>
      </c>
      <c r="G1" s="12" t="s">
        <v>93</v>
      </c>
      <c r="H1" s="12" t="s">
        <v>94</v>
      </c>
      <c r="I1" s="12" t="s">
        <v>95</v>
      </c>
      <c r="J1" s="12" t="s">
        <v>96</v>
      </c>
      <c r="K1" s="10"/>
      <c r="L1" s="10"/>
      <c r="M1" s="10"/>
      <c r="T1" s="6"/>
      <c r="U1" t="s">
        <v>61</v>
      </c>
      <c r="V1" s="6" t="s">
        <v>51</v>
      </c>
      <c r="W1" s="6" t="s">
        <v>52</v>
      </c>
      <c r="X1" s="6" t="s">
        <v>53</v>
      </c>
      <c r="Y1" s="6" t="s">
        <v>54</v>
      </c>
    </row>
    <row r="2" spans="1:25" x14ac:dyDescent="0.25">
      <c r="A2" t="s">
        <v>56</v>
      </c>
      <c r="B2" s="12">
        <v>-0.2281608176674203</v>
      </c>
      <c r="C2" s="14">
        <v>-0.45</v>
      </c>
      <c r="D2" s="12">
        <v>-0.65960731114760096</v>
      </c>
      <c r="E2" s="12">
        <v>-0.9901287589302562</v>
      </c>
      <c r="F2" s="12">
        <v>-1.3284332296648245</v>
      </c>
      <c r="G2" s="12">
        <v>-1.7188710793134812</v>
      </c>
      <c r="H2" s="12">
        <v>-1.959535390210015</v>
      </c>
      <c r="I2" s="12">
        <v>-2.3367615001801103</v>
      </c>
      <c r="J2" s="12">
        <v>-2.7645341287802672</v>
      </c>
      <c r="T2" s="2"/>
      <c r="V2" s="2">
        <v>-0.125498</v>
      </c>
      <c r="W2" s="2">
        <v>-0.34642000000000001</v>
      </c>
      <c r="X2" s="2">
        <v>-0.65908599999999995</v>
      </c>
      <c r="Y2" s="2">
        <v>-1.0404500000000001</v>
      </c>
    </row>
    <row r="3" spans="1:25" x14ac:dyDescent="0.25">
      <c r="A3" s="6"/>
      <c r="B3" s="9"/>
      <c r="C3" s="9"/>
      <c r="D3" s="9"/>
      <c r="E3" s="9"/>
      <c r="F3" s="2"/>
      <c r="T3" s="2"/>
      <c r="V3" s="2">
        <v>0.67168399999999995</v>
      </c>
      <c r="W3" s="2">
        <v>0.56965399999999999</v>
      </c>
      <c r="X3" s="2">
        <v>0.46977600000000003</v>
      </c>
      <c r="Y3" s="2">
        <v>0.155889</v>
      </c>
    </row>
    <row r="4" spans="1:25" x14ac:dyDescent="0.25">
      <c r="A4" s="6"/>
      <c r="B4" s="9"/>
      <c r="C4" s="12">
        <v>-0.27903440724170603</v>
      </c>
      <c r="D4" s="9"/>
      <c r="E4" s="9"/>
      <c r="F4" s="2"/>
      <c r="T4" s="2"/>
      <c r="V4" s="2">
        <v>8.0553299999999994E-2</v>
      </c>
      <c r="W4" s="2">
        <v>7.2759500000000005E-2</v>
      </c>
      <c r="X4" s="2">
        <v>7.9009999999999997E-2</v>
      </c>
      <c r="Y4" s="2">
        <v>9.0069300000000005E-2</v>
      </c>
    </row>
    <row r="5" spans="1:25" x14ac:dyDescent="0.25">
      <c r="A5" s="6"/>
      <c r="B5" s="9"/>
      <c r="C5" s="14">
        <v>-0.45</v>
      </c>
      <c r="D5" s="9"/>
      <c r="E5" s="9"/>
      <c r="F5" s="2"/>
      <c r="T5" s="2"/>
      <c r="V5" s="2">
        <v>0.212368</v>
      </c>
      <c r="W5" s="2">
        <v>0.29991099999999998</v>
      </c>
      <c r="X5" s="2">
        <v>0.37601099999999998</v>
      </c>
      <c r="Y5" s="2">
        <v>0.57909900000000003</v>
      </c>
    </row>
    <row r="6" spans="1:25" x14ac:dyDescent="0.25">
      <c r="A6" s="6"/>
      <c r="B6" s="9"/>
      <c r="C6" s="9"/>
      <c r="D6" s="9"/>
      <c r="E6" s="9"/>
      <c r="T6" s="2"/>
      <c r="V6" s="2">
        <v>3.5394599999999998E-2</v>
      </c>
      <c r="W6" s="2">
        <v>5.7675200000000003E-2</v>
      </c>
      <c r="X6" s="2">
        <v>7.52023E-2</v>
      </c>
      <c r="Y6" s="2">
        <v>0.17494199999999999</v>
      </c>
    </row>
    <row r="7" spans="1:25" x14ac:dyDescent="0.25">
      <c r="B7" s="2"/>
      <c r="C7" s="2"/>
      <c r="D7" s="2"/>
      <c r="E7" s="2"/>
    </row>
    <row r="8" spans="1:25" x14ac:dyDescent="0.25">
      <c r="U8" t="s">
        <v>62</v>
      </c>
      <c r="V8" s="2">
        <v>-0.125498</v>
      </c>
      <c r="W8" s="2">
        <v>-0.34642000000000001</v>
      </c>
      <c r="X8" s="2">
        <v>-0.65908599999999995</v>
      </c>
      <c r="Y8" s="2">
        <v>-1.0404500000000001</v>
      </c>
    </row>
    <row r="9" spans="1:25" x14ac:dyDescent="0.25">
      <c r="J9" s="11"/>
      <c r="K9" s="11"/>
      <c r="L9" s="11"/>
      <c r="M9" s="11"/>
      <c r="V9" s="2">
        <v>0.67147299999999999</v>
      </c>
      <c r="W9" s="2">
        <v>0.807342</v>
      </c>
      <c r="X9" s="2">
        <v>0.84834100000000001</v>
      </c>
      <c r="Y9" s="2">
        <v>0.88441700000000001</v>
      </c>
    </row>
    <row r="10" spans="1:25" x14ac:dyDescent="0.25">
      <c r="J10" s="11"/>
      <c r="K10" s="11"/>
      <c r="L10" s="11"/>
      <c r="M10" s="11"/>
      <c r="V10" s="2">
        <v>0.32445099999999999</v>
      </c>
      <c r="W10" s="2">
        <v>0.19046099999999999</v>
      </c>
      <c r="X10" s="2">
        <v>7.0413000000000003E-2</v>
      </c>
      <c r="Y10" s="2">
        <v>1.68559E-2</v>
      </c>
    </row>
    <row r="11" spans="1:25" x14ac:dyDescent="0.25">
      <c r="J11" s="11"/>
      <c r="K11" s="11"/>
      <c r="L11" s="11"/>
      <c r="M11" s="11"/>
      <c r="V11" s="2">
        <v>2.82132E-3</v>
      </c>
      <c r="W11" s="2">
        <v>0</v>
      </c>
      <c r="X11" s="2">
        <v>5.3486800000000001E-2</v>
      </c>
      <c r="Y11" s="2">
        <v>8.1527299999999997E-2</v>
      </c>
    </row>
    <row r="12" spans="1:25" x14ac:dyDescent="0.25">
      <c r="I12" s="2"/>
      <c r="J12" s="2"/>
      <c r="K12" s="2"/>
      <c r="L12" s="2"/>
      <c r="M12" s="2"/>
      <c r="V12" s="2">
        <v>1.2539199999999999E-3</v>
      </c>
      <c r="W12" s="2">
        <v>2.1964200000000001E-3</v>
      </c>
      <c r="X12" s="2">
        <v>2.7758999999999999E-2</v>
      </c>
      <c r="Y12" s="2">
        <v>1.7199900000000001E-2</v>
      </c>
    </row>
    <row r="13" spans="1:25" x14ac:dyDescent="0.25">
      <c r="A13" t="s">
        <v>74</v>
      </c>
    </row>
    <row r="14" spans="1:25" x14ac:dyDescent="0.25">
      <c r="T14" t="s">
        <v>63</v>
      </c>
      <c r="U14" s="6" t="s">
        <v>56</v>
      </c>
      <c r="V14" s="9">
        <v>-0.37456818591710134</v>
      </c>
      <c r="W14" s="9">
        <v>-0.99157869220515182</v>
      </c>
      <c r="X14" s="9">
        <v>-1.5836757608635867</v>
      </c>
      <c r="Y14" s="9">
        <v>-2.469928431162622</v>
      </c>
    </row>
    <row r="15" spans="1:25" x14ac:dyDescent="0.25">
      <c r="A15" t="s">
        <v>71</v>
      </c>
      <c r="B15" s="13" t="s">
        <v>72</v>
      </c>
      <c r="C15" s="6" t="s">
        <v>73</v>
      </c>
      <c r="I15" s="6"/>
      <c r="J15" s="2" t="s">
        <v>66</v>
      </c>
      <c r="K15" s="11">
        <v>-0.37456818591710134</v>
      </c>
      <c r="L15" s="11">
        <v>-0.99157869220515182</v>
      </c>
      <c r="M15" s="11">
        <v>-1.5836757608635867</v>
      </c>
      <c r="N15" s="11">
        <v>-2.469928431162622</v>
      </c>
      <c r="U15" s="6" t="s">
        <v>64</v>
      </c>
      <c r="V15" s="9">
        <v>2.5999999999999999E-2</v>
      </c>
      <c r="W15" s="9">
        <v>4.5999999999999999E-2</v>
      </c>
      <c r="X15" s="9">
        <v>3.5000000000000003E-2</v>
      </c>
      <c r="Y15" s="9">
        <v>3.5999999999999997E-2</v>
      </c>
    </row>
    <row r="16" spans="1:25" x14ac:dyDescent="0.25">
      <c r="A16">
        <v>1</v>
      </c>
      <c r="B16" s="13">
        <v>0.59134262160572071</v>
      </c>
      <c r="C16" s="12">
        <f t="shared" ref="C16:C24" si="0">LOG10(B16)</f>
        <v>-0.2281608176674203</v>
      </c>
      <c r="D16" s="6">
        <v>-0.2281608176674203</v>
      </c>
      <c r="I16" s="6"/>
      <c r="J16" t="s">
        <v>67</v>
      </c>
      <c r="K16" s="11">
        <v>-6.6339999999999996E-2</v>
      </c>
      <c r="L16" s="11">
        <v>-0.90681999999999996</v>
      </c>
      <c r="M16" s="11">
        <v>-1.7778</v>
      </c>
      <c r="N16" s="11">
        <v>-2.2210999999999999</v>
      </c>
      <c r="U16" s="6" t="s">
        <v>57</v>
      </c>
      <c r="V16" s="9">
        <v>0.61699999999999999</v>
      </c>
      <c r="W16" s="9">
        <v>0.74099999999999999</v>
      </c>
      <c r="X16" s="9">
        <v>0.78600000000000003</v>
      </c>
      <c r="Y16" s="9">
        <v>0.73299999999999998</v>
      </c>
    </row>
    <row r="17" spans="1:25" x14ac:dyDescent="0.25">
      <c r="A17">
        <v>2</v>
      </c>
      <c r="B17" s="13">
        <v>0.52597559400697802</v>
      </c>
      <c r="C17" s="12">
        <f t="shared" si="0"/>
        <v>-0.27903440724170603</v>
      </c>
      <c r="D17" s="6">
        <v>-0.27903440724170603</v>
      </c>
      <c r="I17" s="6"/>
      <c r="J17" t="s">
        <v>69</v>
      </c>
      <c r="K17" s="11">
        <f>LOG10(K19)</f>
        <v>-0.27901425584626094</v>
      </c>
      <c r="L17" s="11">
        <f t="shared" ref="L17:N17" si="1">LOG10(L19)</f>
        <v>-0.99012436628783984</v>
      </c>
      <c r="M17" s="11">
        <f t="shared" si="1"/>
        <v>-1.7189666327522726</v>
      </c>
      <c r="N17" s="11">
        <f t="shared" si="1"/>
        <v>-2.3367703654671321</v>
      </c>
      <c r="U17" s="6" t="s">
        <v>58</v>
      </c>
      <c r="V17" s="9">
        <v>0.30199999999999999</v>
      </c>
      <c r="W17" s="9">
        <v>0.159</v>
      </c>
      <c r="X17" s="9">
        <v>8.5999999999999993E-2</v>
      </c>
      <c r="Y17" s="9">
        <v>9.2999999999999999E-2</v>
      </c>
    </row>
    <row r="18" spans="1:25" x14ac:dyDescent="0.25">
      <c r="A18" s="12">
        <v>3</v>
      </c>
      <c r="B18" s="13">
        <v>0.21897406915121678</v>
      </c>
      <c r="C18" s="12">
        <f t="shared" si="0"/>
        <v>-0.65960731114760096</v>
      </c>
      <c r="D18" s="6">
        <v>-0.65960731114760096</v>
      </c>
      <c r="I18" s="6"/>
      <c r="K18" s="11"/>
      <c r="L18" s="11"/>
      <c r="M18" s="11"/>
      <c r="N18" s="11"/>
      <c r="U18" s="6" t="s">
        <v>59</v>
      </c>
      <c r="V18" s="9">
        <v>5.3999999999999999E-2</v>
      </c>
      <c r="W18" s="9">
        <v>5.3999999999999999E-2</v>
      </c>
      <c r="X18" s="9">
        <v>9.2999999999999999E-2</v>
      </c>
      <c r="Y18" s="9">
        <v>0.159</v>
      </c>
    </row>
    <row r="19" spans="1:25" x14ac:dyDescent="0.25">
      <c r="A19" s="12">
        <v>4</v>
      </c>
      <c r="B19" s="13">
        <v>0.10229896529874227</v>
      </c>
      <c r="C19" s="12">
        <f t="shared" si="0"/>
        <v>-0.9901287589302562</v>
      </c>
      <c r="D19" s="6">
        <v>-0.9901287589302562</v>
      </c>
      <c r="I19" s="6"/>
      <c r="J19" t="s">
        <v>68</v>
      </c>
      <c r="K19" s="11">
        <v>0.52600000000000002</v>
      </c>
      <c r="L19" s="11">
        <v>0.1023</v>
      </c>
      <c r="M19" s="11">
        <v>1.9099999999999999E-2</v>
      </c>
      <c r="N19" s="11">
        <v>4.6049999999999997E-3</v>
      </c>
      <c r="P19" s="9"/>
      <c r="Q19" s="9"/>
      <c r="R19" s="9"/>
      <c r="S19" s="9"/>
    </row>
    <row r="20" spans="1:25" x14ac:dyDescent="0.25">
      <c r="A20" s="12">
        <v>5</v>
      </c>
      <c r="B20" s="13">
        <v>4.6942560031663416E-2</v>
      </c>
      <c r="C20" s="12">
        <f t="shared" si="0"/>
        <v>-1.3284332296648245</v>
      </c>
      <c r="D20" s="6">
        <v>-1.3284332296648245</v>
      </c>
      <c r="K20" s="11"/>
      <c r="L20" s="11"/>
      <c r="M20" s="11"/>
      <c r="N20" s="11"/>
    </row>
    <row r="21" spans="1:25" x14ac:dyDescent="0.25">
      <c r="A21" s="12">
        <v>6</v>
      </c>
      <c r="B21" s="13">
        <v>1.9104202842881165E-2</v>
      </c>
      <c r="C21" s="12">
        <f t="shared" si="0"/>
        <v>-1.7188710793134812</v>
      </c>
      <c r="D21" s="6">
        <v>-1.7188710793134812</v>
      </c>
      <c r="J21" t="s">
        <v>70</v>
      </c>
      <c r="K21" s="11"/>
      <c r="L21" s="11"/>
      <c r="M21" s="11"/>
      <c r="N21" s="11"/>
    </row>
    <row r="22" spans="1:25" x14ac:dyDescent="0.25">
      <c r="A22" s="12">
        <v>7</v>
      </c>
      <c r="B22" s="13">
        <v>1.0976518401112726E-2</v>
      </c>
      <c r="C22" s="12">
        <f t="shared" si="0"/>
        <v>-1.959535390210015</v>
      </c>
      <c r="D22" s="6">
        <v>-1.959535390210015</v>
      </c>
    </row>
    <row r="23" spans="1:25" x14ac:dyDescent="0.25">
      <c r="A23" s="12">
        <v>8</v>
      </c>
      <c r="B23" s="13">
        <v>4.6050940031824453E-3</v>
      </c>
      <c r="C23" s="12">
        <f t="shared" si="0"/>
        <v>-2.3367615001801103</v>
      </c>
      <c r="D23" s="6">
        <v>-2.3367615001801103</v>
      </c>
    </row>
    <row r="24" spans="1:25" x14ac:dyDescent="0.25">
      <c r="A24" s="12">
        <v>9</v>
      </c>
      <c r="B24" s="13">
        <v>1.7197521901983386E-3</v>
      </c>
      <c r="C24" s="12">
        <f t="shared" si="0"/>
        <v>-2.7645341287802672</v>
      </c>
      <c r="D24" s="6">
        <v>-2.7645341287802672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21"/>
  <sheetViews>
    <sheetView workbookViewId="0">
      <selection activeCell="C18" sqref="C18"/>
    </sheetView>
  </sheetViews>
  <sheetFormatPr defaultRowHeight="15" x14ac:dyDescent="0.25"/>
  <cols>
    <col min="1" max="1" width="11.7109375" customWidth="1"/>
    <col min="2" max="2" width="22.5703125" customWidth="1"/>
    <col min="3" max="3" width="26.85546875" customWidth="1"/>
    <col min="4" max="4" width="21.140625" customWidth="1"/>
    <col min="5" max="5" width="21.7109375" customWidth="1"/>
    <col min="6" max="6" width="21.140625" customWidth="1"/>
    <col min="7" max="7" width="17.140625" customWidth="1"/>
    <col min="8" max="8" width="16.28515625" customWidth="1"/>
    <col min="9" max="9" width="17.42578125" customWidth="1"/>
    <col min="10" max="10" width="18.140625" customWidth="1"/>
    <col min="11" max="11" width="15.42578125" customWidth="1"/>
    <col min="12" max="12" width="12.5703125" customWidth="1"/>
  </cols>
  <sheetData>
    <row r="1" spans="1:16" x14ac:dyDescent="0.25">
      <c r="A1" t="s">
        <v>21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s="6" t="s">
        <v>22</v>
      </c>
      <c r="I1" s="6" t="s">
        <v>23</v>
      </c>
      <c r="J1" s="6" t="s">
        <v>24</v>
      </c>
      <c r="K1" s="6" t="s">
        <v>25</v>
      </c>
      <c r="L1" t="s">
        <v>44</v>
      </c>
      <c r="M1" s="6" t="s">
        <v>45</v>
      </c>
      <c r="N1" s="6" t="s">
        <v>46</v>
      </c>
      <c r="O1" s="6" t="s">
        <v>47</v>
      </c>
      <c r="P1" s="6" t="s">
        <v>48</v>
      </c>
    </row>
    <row r="2" spans="1:16" x14ac:dyDescent="0.25">
      <c r="B2" t="s">
        <v>86</v>
      </c>
      <c r="C2" t="s">
        <v>84</v>
      </c>
      <c r="D2" t="s">
        <v>115</v>
      </c>
    </row>
    <row r="3" spans="1:16" s="6" customFormat="1" x14ac:dyDescent="0.25">
      <c r="B3" s="6" t="s">
        <v>87</v>
      </c>
      <c r="C3" s="6" t="s">
        <v>85</v>
      </c>
      <c r="D3" s="6" t="s">
        <v>116</v>
      </c>
    </row>
    <row r="4" spans="1:16" s="6" customFormat="1" x14ac:dyDescent="0.25">
      <c r="A4" s="6" t="s">
        <v>20</v>
      </c>
      <c r="B4" s="5">
        <v>0.44700000000000001</v>
      </c>
      <c r="C4" s="6">
        <v>0.55000000000000004</v>
      </c>
      <c r="D4" s="6">
        <v>0.06</v>
      </c>
      <c r="G4" s="5"/>
      <c r="H4" s="5"/>
      <c r="L4" s="2"/>
      <c r="M4" s="2"/>
    </row>
    <row r="5" spans="1:16" s="6" customFormat="1" x14ac:dyDescent="0.25">
      <c r="A5" s="6" t="s">
        <v>10</v>
      </c>
      <c r="B5" s="5">
        <v>0.4</v>
      </c>
      <c r="C5" s="6">
        <v>0.45</v>
      </c>
      <c r="D5" s="6">
        <v>0.04</v>
      </c>
      <c r="G5" s="5"/>
      <c r="H5" s="5"/>
      <c r="L5" s="2"/>
      <c r="M5" s="2"/>
    </row>
    <row r="6" spans="1:16" x14ac:dyDescent="0.25">
      <c r="A6" s="6" t="s">
        <v>11</v>
      </c>
      <c r="B6" s="5">
        <v>0.5</v>
      </c>
      <c r="C6">
        <v>0.65</v>
      </c>
      <c r="D6">
        <v>0.1</v>
      </c>
      <c r="G6" s="5"/>
      <c r="H6" s="5"/>
      <c r="L6" s="2"/>
      <c r="M6" s="2"/>
    </row>
    <row r="9" spans="1:16" x14ac:dyDescent="0.25">
      <c r="B9" t="s">
        <v>50</v>
      </c>
      <c r="C9" s="2">
        <v>2</v>
      </c>
    </row>
    <row r="14" spans="1:16" x14ac:dyDescent="0.25">
      <c r="B14" s="3"/>
    </row>
    <row r="21" spans="3:3" x14ac:dyDescent="0.25">
      <c r="C2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"/>
  <sheetViews>
    <sheetView workbookViewId="0">
      <selection activeCell="B153" sqref="B153"/>
    </sheetView>
  </sheetViews>
  <sheetFormatPr defaultRowHeight="15" x14ac:dyDescent="0.25"/>
  <cols>
    <col min="1" max="1" width="40.7109375" customWidth="1"/>
    <col min="2" max="2" width="11.28515625" customWidth="1"/>
    <col min="6" max="6" width="40.7109375" customWidth="1"/>
  </cols>
  <sheetData>
    <row r="1" spans="1:6" s="3" customFormat="1" x14ac:dyDescent="0.25">
      <c r="A1" s="3" t="s">
        <v>1</v>
      </c>
      <c r="B1" s="3" t="s">
        <v>2</v>
      </c>
      <c r="F1" s="3" t="s">
        <v>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9"/>
  <sheetViews>
    <sheetView workbookViewId="0">
      <selection activeCell="C1" sqref="C1"/>
    </sheetView>
  </sheetViews>
  <sheetFormatPr defaultRowHeight="15" x14ac:dyDescent="0.25"/>
  <cols>
    <col min="1" max="1" width="13.85546875" customWidth="1"/>
    <col min="4" max="4" width="13" customWidth="1"/>
  </cols>
  <sheetData>
    <row r="1" spans="1:4" x14ac:dyDescent="0.25">
      <c r="A1" t="s">
        <v>98</v>
      </c>
      <c r="B1">
        <v>-0.2281608176674203</v>
      </c>
      <c r="C1">
        <v>2.0935313452291435</v>
      </c>
      <c r="D1" t="s">
        <v>97</v>
      </c>
    </row>
    <row r="2" spans="1:4" x14ac:dyDescent="0.25">
      <c r="A2" t="s">
        <v>100</v>
      </c>
      <c r="B2">
        <v>-0.45</v>
      </c>
      <c r="C2">
        <v>1.4907119849998598</v>
      </c>
      <c r="D2" t="s">
        <v>99</v>
      </c>
    </row>
    <row r="3" spans="1:4" x14ac:dyDescent="0.25">
      <c r="A3" t="s">
        <v>102</v>
      </c>
      <c r="B3">
        <v>-0.65960731114760096</v>
      </c>
      <c r="C3">
        <v>1.2312812600710057</v>
      </c>
      <c r="D3" t="s">
        <v>101</v>
      </c>
    </row>
    <row r="4" spans="1:4" x14ac:dyDescent="0.25">
      <c r="A4" t="s">
        <v>104</v>
      </c>
      <c r="B4">
        <v>-0.9901287589302562</v>
      </c>
      <c r="C4">
        <v>1.0049724642630959</v>
      </c>
      <c r="D4" t="s">
        <v>103</v>
      </c>
    </row>
    <row r="5" spans="1:4" x14ac:dyDescent="0.25">
      <c r="A5" t="s">
        <v>106</v>
      </c>
      <c r="B5">
        <v>-1.3284332296648245</v>
      </c>
      <c r="C5">
        <v>0.86762115887376479</v>
      </c>
      <c r="D5" t="s">
        <v>105</v>
      </c>
    </row>
    <row r="6" spans="1:4" x14ac:dyDescent="0.25">
      <c r="A6" t="s">
        <v>108</v>
      </c>
      <c r="B6">
        <v>-1.7188710793134812</v>
      </c>
      <c r="C6">
        <v>0.76274320570998688</v>
      </c>
      <c r="D6" t="s">
        <v>107</v>
      </c>
    </row>
    <row r="7" spans="1:4" x14ac:dyDescent="0.25">
      <c r="A7" t="s">
        <v>110</v>
      </c>
      <c r="B7">
        <v>-1.959535390210015</v>
      </c>
      <c r="C7">
        <v>0.71437038855806467</v>
      </c>
      <c r="D7" t="s">
        <v>109</v>
      </c>
    </row>
    <row r="8" spans="1:4" x14ac:dyDescent="0.25">
      <c r="A8" t="s">
        <v>112</v>
      </c>
      <c r="B8">
        <v>-2.3367615001801103</v>
      </c>
      <c r="C8">
        <v>0.65417328669566699</v>
      </c>
      <c r="D8" t="s">
        <v>111</v>
      </c>
    </row>
    <row r="9" spans="1:4" x14ac:dyDescent="0.25">
      <c r="A9" t="s">
        <v>114</v>
      </c>
      <c r="B9">
        <v>-2.7645341287802672</v>
      </c>
      <c r="C9">
        <v>0.60143544899324752</v>
      </c>
      <c r="D9" t="s">
        <v>113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2"/>
  <sheetViews>
    <sheetView workbookViewId="0">
      <selection activeCell="C9" sqref="C9"/>
    </sheetView>
  </sheetViews>
  <sheetFormatPr defaultRowHeight="15" x14ac:dyDescent="0.25"/>
  <cols>
    <col min="2" max="2" width="9.42578125" customWidth="1"/>
    <col min="3" max="3" width="13.140625" customWidth="1"/>
    <col min="5" max="5" width="11.5703125" bestFit="1" customWidth="1"/>
  </cols>
  <sheetData>
    <row r="1" spans="1:18" x14ac:dyDescent="0.25">
      <c r="A1" t="s">
        <v>97</v>
      </c>
      <c r="C1" t="s">
        <v>99</v>
      </c>
      <c r="E1" t="s">
        <v>101</v>
      </c>
      <c r="G1" t="s">
        <v>103</v>
      </c>
      <c r="I1" t="s">
        <v>105</v>
      </c>
      <c r="K1" t="s">
        <v>107</v>
      </c>
      <c r="M1" t="s">
        <v>109</v>
      </c>
      <c r="O1" t="s">
        <v>111</v>
      </c>
      <c r="Q1" t="s">
        <v>113</v>
      </c>
    </row>
    <row r="2" spans="1:18" x14ac:dyDescent="0.25">
      <c r="A2" t="s">
        <v>98</v>
      </c>
      <c r="B2">
        <v>-0.2281608176674203</v>
      </c>
      <c r="C2" t="s">
        <v>100</v>
      </c>
      <c r="D2">
        <v>-0.45</v>
      </c>
      <c r="E2" t="s">
        <v>102</v>
      </c>
      <c r="F2">
        <v>-0.65960731114760096</v>
      </c>
      <c r="G2" t="s">
        <v>104</v>
      </c>
      <c r="H2">
        <v>-0.9901287589302562</v>
      </c>
      <c r="I2" t="s">
        <v>106</v>
      </c>
      <c r="J2">
        <v>-1.3284332296648245</v>
      </c>
      <c r="K2" t="s">
        <v>108</v>
      </c>
      <c r="L2">
        <v>-1.7188710793134812</v>
      </c>
      <c r="M2" t="s">
        <v>110</v>
      </c>
      <c r="N2">
        <v>-1.959535390210015</v>
      </c>
      <c r="O2" t="s">
        <v>112</v>
      </c>
      <c r="P2">
        <v>-2.3367615001801103</v>
      </c>
      <c r="Q2" t="s">
        <v>114</v>
      </c>
      <c r="R2">
        <v>-2.7645341287802672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BV5"/>
  <sheetViews>
    <sheetView workbookViewId="0">
      <selection sqref="A1:XFD1"/>
    </sheetView>
  </sheetViews>
  <sheetFormatPr defaultRowHeight="15" x14ac:dyDescent="0.25"/>
  <cols>
    <col min="41" max="42" width="12.85546875" customWidth="1"/>
  </cols>
  <sheetData>
    <row r="2" spans="1:74" x14ac:dyDescent="0.25">
      <c r="A2" s="7"/>
      <c r="F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</row>
    <row r="3" spans="1:74" x14ac:dyDescent="0.25">
      <c r="A3" s="7"/>
      <c r="F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</row>
    <row r="4" spans="1:74" x14ac:dyDescent="0.25">
      <c r="A4" s="7"/>
      <c r="F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</row>
    <row r="5" spans="1:74" x14ac:dyDescent="0.25">
      <c r="A5" s="7"/>
      <c r="F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7"/>
  <sheetViews>
    <sheetView workbookViewId="0">
      <selection activeCell="B11" sqref="B11"/>
    </sheetView>
  </sheetViews>
  <sheetFormatPr defaultRowHeight="15" x14ac:dyDescent="0.25"/>
  <sheetData>
    <row r="1" spans="1:10" x14ac:dyDescent="0.25">
      <c r="A1" s="6"/>
      <c r="B1" s="6"/>
      <c r="C1" s="6"/>
      <c r="D1" s="6"/>
      <c r="E1" s="6"/>
      <c r="F1" s="6"/>
      <c r="G1" s="6"/>
      <c r="H1" s="6"/>
      <c r="I1" s="6"/>
      <c r="J1" s="6"/>
    </row>
    <row r="2" spans="1:10" x14ac:dyDescent="0.25">
      <c r="A2" s="6"/>
      <c r="B2" s="6"/>
      <c r="C2" s="6"/>
      <c r="D2" s="6"/>
      <c r="E2" s="6"/>
      <c r="F2" s="6"/>
      <c r="G2" s="6"/>
      <c r="H2" s="6"/>
      <c r="I2" s="6"/>
      <c r="J2" s="6"/>
    </row>
    <row r="3" spans="1:10" x14ac:dyDescent="0.25">
      <c r="A3" s="2"/>
      <c r="B3" s="2"/>
      <c r="C3" s="2"/>
      <c r="D3" s="2"/>
      <c r="E3" s="2"/>
      <c r="F3" s="2"/>
      <c r="G3" s="2"/>
      <c r="H3" s="2"/>
      <c r="I3" s="2"/>
      <c r="J3" s="2"/>
    </row>
    <row r="4" spans="1:10" x14ac:dyDescent="0.25">
      <c r="A4" s="2"/>
      <c r="B4" s="2"/>
      <c r="C4" s="2"/>
      <c r="D4" s="2"/>
      <c r="E4" s="2"/>
      <c r="F4" s="2"/>
      <c r="G4" s="2"/>
      <c r="H4" s="2"/>
      <c r="I4" s="2"/>
      <c r="J4" s="2"/>
    </row>
    <row r="5" spans="1:10" x14ac:dyDescent="0.25">
      <c r="A5" s="2"/>
      <c r="B5" s="2"/>
      <c r="C5" s="2"/>
      <c r="D5" s="2"/>
      <c r="E5" s="2"/>
      <c r="F5" s="2"/>
      <c r="G5" s="2"/>
      <c r="H5" s="2"/>
      <c r="I5" s="2"/>
      <c r="J5" s="2"/>
    </row>
    <row r="7" spans="1:10" x14ac:dyDescent="0.25">
      <c r="A7" s="6"/>
    </row>
    <row r="8" spans="1:10" x14ac:dyDescent="0.25">
      <c r="A8" s="6"/>
    </row>
    <row r="9" spans="1:10" x14ac:dyDescent="0.25">
      <c r="A9" s="6"/>
    </row>
    <row r="10" spans="1:10" x14ac:dyDescent="0.25">
      <c r="A10" s="6"/>
    </row>
    <row r="11" spans="1:10" x14ac:dyDescent="0.25">
      <c r="A11" s="6"/>
    </row>
    <row r="13" spans="1:10" x14ac:dyDescent="0.25">
      <c r="A13" s="6"/>
      <c r="B13" s="6"/>
      <c r="C13" s="6"/>
      <c r="D13" s="6"/>
      <c r="E13" s="6"/>
      <c r="F13" s="6"/>
      <c r="G13" s="6"/>
    </row>
    <row r="14" spans="1:10" x14ac:dyDescent="0.25">
      <c r="A14" s="6"/>
      <c r="B14" s="6"/>
      <c r="C14" s="6"/>
      <c r="D14" s="6"/>
      <c r="E14" s="6"/>
      <c r="F14" s="6"/>
      <c r="G14" s="6"/>
    </row>
    <row r="15" spans="1:10" x14ac:dyDescent="0.25">
      <c r="A15" s="2"/>
      <c r="B15" s="2"/>
      <c r="C15" s="2"/>
      <c r="D15" s="2"/>
      <c r="E15" s="2"/>
      <c r="F15" s="2"/>
      <c r="G15" s="2"/>
    </row>
    <row r="16" spans="1:10" x14ac:dyDescent="0.25">
      <c r="A16" s="2"/>
      <c r="B16" s="2"/>
      <c r="C16" s="2"/>
      <c r="D16" s="2"/>
      <c r="E16" s="2"/>
      <c r="F16" s="2"/>
      <c r="G16" s="2"/>
    </row>
    <row r="17" spans="1:7" x14ac:dyDescent="0.25">
      <c r="A17" s="2"/>
      <c r="B17" s="2"/>
      <c r="C17" s="2"/>
      <c r="D17" s="2"/>
      <c r="E17" s="2"/>
      <c r="F17" s="2"/>
      <c r="G17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size="33" baseType="lpstr">
      <vt:lpstr>Start</vt:lpstr>
      <vt:lpstr>Experiment_data</vt:lpstr>
      <vt:lpstr>Parameter_data</vt:lpstr>
      <vt:lpstr>Input_data</vt:lpstr>
      <vt:lpstr>Observations</vt:lpstr>
      <vt:lpstr>Sheet1</vt:lpstr>
      <vt:lpstr>Sheet2</vt:lpstr>
      <vt:lpstr>Sheet4</vt:lpstr>
      <vt:lpstr>base_path</vt:lpstr>
      <vt:lpstr>max_hours</vt:lpstr>
      <vt:lpstr>MB_PER_CPU</vt:lpstr>
      <vt:lpstr>monolayer_DLL</vt:lpstr>
      <vt:lpstr>monolayer_exe_path</vt:lpstr>
      <vt:lpstr>multiprog</vt:lpstr>
      <vt:lpstr>NCPU</vt:lpstr>
      <vt:lpstr>NESI_PEST_DIR</vt:lpstr>
      <vt:lpstr>NEXP</vt:lpstr>
      <vt:lpstr>parameter_data_file</vt:lpstr>
      <vt:lpstr>parameter_factor</vt:lpstr>
      <vt:lpstr>PC_PEST_DIR</vt:lpstr>
      <vt:lpstr>rb_monolayer</vt:lpstr>
      <vt:lpstr>rb_NeSI</vt:lpstr>
      <vt:lpstr>rb_PC</vt:lpstr>
      <vt:lpstr>rb_vmonolayer</vt:lpstr>
      <vt:lpstr>rb_vspheroid</vt:lpstr>
      <vt:lpstr>RUN_DIR</vt:lpstr>
      <vt:lpstr>run_name</vt:lpstr>
      <vt:lpstr>template_file_number</vt:lpstr>
      <vt:lpstr>USER</vt:lpstr>
      <vt:lpstr>vmonolayer_DLL</vt:lpstr>
      <vt:lpstr>vmonolayer_exe_path</vt:lpstr>
      <vt:lpstr>vspheroid_DLL</vt:lpstr>
      <vt:lpstr>vspheroid_exe_path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Gib</dc:creator>
  <cp:lastModifiedBy>gib</cp:lastModifiedBy>
  <dcterms:created xsi:type="dcterms:W3CDTF">2014-03-19T20:45:37Z</dcterms:created>
  <dcterms:modified xsi:type="dcterms:W3CDTF">2022-06-12T21:39:58Z</dcterms:modified>
</cp:coreProperties>
</file>